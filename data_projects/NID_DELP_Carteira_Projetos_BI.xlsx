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elpmecanica.sharepoint.com/teams/PCP-TFMC/DOCUMENTAES E METODOLOGIAS/DOCUMENTAÇÃO PROJETOS/SISTEMAS DE INTELIGÊNCIA DE DADOS - BI/B.I NID/DATA_CURATED/"/>
    </mc:Choice>
  </mc:AlternateContent>
  <xr:revisionPtr revIDLastSave="847" documentId="13_ncr:1_{FE983898-F929-497F-BA02-EA437C07336A}" xr6:coauthVersionLast="47" xr6:coauthVersionMax="47" xr10:uidLastSave="{03E9E7DA-272A-4553-978B-DFA7FD587EAE}"/>
  <workbookProtection workbookAlgorithmName="SHA-512" workbookHashValue="aAj2rrM1PSBW02l2z0Uyxdz0ZsGglMCXOmJixEIK2MF31qsMaiorIuHRCEhg54dZJd1HnKkBloDCSqrYQ5CeJg==" workbookSaltValue="JvEtTwVG2mAO/T2KfrC7Ug==" workbookSpinCount="100000" lockStructure="1"/>
  <bookViews>
    <workbookView xWindow="-14265" yWindow="-16320" windowWidth="29040" windowHeight="15720" xr2:uid="{00000000-000D-0000-FFFF-FFFF00000000}"/>
  </bookViews>
  <sheets>
    <sheet name="projetos" sheetId="1" r:id="rId1"/>
    <sheet name="membros_nucleo" sheetId="2" r:id="rId2"/>
    <sheet name="alocacoes" sheetId="4" r:id="rId3"/>
    <sheet name="dim_pessoas" sheetId="8" r:id="rId4"/>
    <sheet name="dim_custo_setor_horas" sheetId="9" r:id="rId5"/>
    <sheet name="validacao_lista" sheetId="6" r:id="rId6"/>
    <sheet name="timesheets" sheetId="3" r:id="rId7"/>
    <sheet name="_dicionario" sheetId="5" r:id="rId8"/>
  </sheets>
  <definedNames>
    <definedName name="_xlnm._FilterDatabase" localSheetId="2" hidden="1">alocacoes!$A$1:$J$26</definedName>
    <definedName name="_xlnm._FilterDatabase" localSheetId="1" hidden="1">membros_nucleo!$A$1:$I$10</definedName>
    <definedName name="_xlnm._FilterDatabase" localSheetId="0" hidden="1">projetos!$A$1:$AJ$23</definedName>
    <definedName name="_xlnm._FilterDatabase" localSheetId="6" hidden="1">timesheets!$A$1:$F$61</definedName>
    <definedName name="DadosExternos_1" localSheetId="3" hidden="1">dim_pessoas!$A$1:$E$844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40" i="1" l="1"/>
  <c r="X40" i="1"/>
  <c r="Y40" i="1" s="1"/>
  <c r="W40" i="1"/>
  <c r="P40" i="1"/>
  <c r="G40" i="1"/>
  <c r="E40" i="1"/>
  <c r="P39" i="1"/>
  <c r="G39" i="1"/>
  <c r="E39" i="1"/>
  <c r="P38" i="1"/>
  <c r="G38" i="1"/>
  <c r="E38" i="1"/>
  <c r="W19" i="1"/>
  <c r="B7" i="4"/>
  <c r="D7" i="4"/>
  <c r="H7" i="4" s="1"/>
  <c r="F7" i="4"/>
  <c r="G7" i="4" s="1"/>
  <c r="AP25" i="1"/>
  <c r="AM25" i="1"/>
  <c r="AD25" i="1"/>
  <c r="Y25" i="1"/>
  <c r="X25" i="1"/>
  <c r="W25" i="1"/>
  <c r="P25" i="1"/>
  <c r="G25" i="1"/>
  <c r="E25" i="1"/>
  <c r="W7" i="1"/>
  <c r="G24" i="1"/>
  <c r="E24" i="1"/>
  <c r="P24" i="1"/>
  <c r="AP7" i="1"/>
  <c r="AM7" i="1"/>
  <c r="AD7" i="1"/>
  <c r="Y7" i="1"/>
  <c r="X7" i="1"/>
  <c r="P7" i="1"/>
  <c r="G7" i="1"/>
  <c r="E7" i="1"/>
  <c r="P20" i="1"/>
  <c r="G20" i="1"/>
  <c r="E20" i="1"/>
  <c r="AP19" i="1"/>
  <c r="AM19" i="1"/>
  <c r="X19" i="1"/>
  <c r="P19" i="1"/>
  <c r="G19" i="1"/>
  <c r="E19" i="1"/>
  <c r="X2" i="1"/>
  <c r="Y2" i="1" s="1"/>
  <c r="X3" i="1"/>
  <c r="AD3" i="1" s="1"/>
  <c r="X4" i="1"/>
  <c r="AD4" i="1" s="1"/>
  <c r="X6" i="1"/>
  <c r="X8" i="1"/>
  <c r="X9" i="1"/>
  <c r="X15" i="1"/>
  <c r="X16" i="1"/>
  <c r="X17" i="1"/>
  <c r="X11" i="1"/>
  <c r="X18" i="1"/>
  <c r="X21" i="1"/>
  <c r="X22" i="1"/>
  <c r="X23" i="1"/>
  <c r="X26" i="1"/>
  <c r="X13" i="1"/>
  <c r="AD13" i="1" s="1"/>
  <c r="X27" i="1"/>
  <c r="X12" i="1"/>
  <c r="X28" i="1"/>
  <c r="X29" i="1"/>
  <c r="X30" i="1"/>
  <c r="X31" i="1"/>
  <c r="X32" i="1"/>
  <c r="X33" i="1"/>
  <c r="X34" i="1"/>
  <c r="X35" i="1"/>
  <c r="X36" i="1"/>
  <c r="X37" i="1"/>
  <c r="X10" i="1"/>
  <c r="X20" i="1"/>
  <c r="X24" i="1"/>
  <c r="X38" i="1"/>
  <c r="Y38" i="1" s="1"/>
  <c r="X39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Y8" i="1"/>
  <c r="Y9" i="1"/>
  <c r="Y14" i="1"/>
  <c r="Y15" i="1"/>
  <c r="Y16" i="1"/>
  <c r="Y17" i="1"/>
  <c r="Y11" i="1"/>
  <c r="Y18" i="1"/>
  <c r="Y21" i="1"/>
  <c r="Y22" i="1"/>
  <c r="Y23" i="1"/>
  <c r="Y26" i="1"/>
  <c r="Y13" i="1"/>
  <c r="Y27" i="1"/>
  <c r="Y12" i="1"/>
  <c r="Y28" i="1"/>
  <c r="Y29" i="1"/>
  <c r="Y30" i="1"/>
  <c r="Y31" i="1"/>
  <c r="Y32" i="1"/>
  <c r="Y33" i="1"/>
  <c r="Y34" i="1"/>
  <c r="Y35" i="1"/>
  <c r="Y36" i="1"/>
  <c r="Y37" i="1"/>
  <c r="Y10" i="1"/>
  <c r="Y20" i="1"/>
  <c r="Y24" i="1"/>
  <c r="Y39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AD8" i="1"/>
  <c r="AD9" i="1"/>
  <c r="AD14" i="1"/>
  <c r="AD15" i="1"/>
  <c r="AD16" i="1"/>
  <c r="AD17" i="1"/>
  <c r="AD11" i="1"/>
  <c r="AD18" i="1"/>
  <c r="AD21" i="1"/>
  <c r="AD22" i="1"/>
  <c r="AD23" i="1"/>
  <c r="AD26" i="1"/>
  <c r="AD27" i="1"/>
  <c r="AD12" i="1"/>
  <c r="AD28" i="1"/>
  <c r="AD29" i="1"/>
  <c r="AD30" i="1"/>
  <c r="AD31" i="1"/>
  <c r="AD32" i="1"/>
  <c r="AD33" i="1"/>
  <c r="AD34" i="1"/>
  <c r="AD35" i="1"/>
  <c r="AD36" i="1"/>
  <c r="AD37" i="1"/>
  <c r="AD10" i="1"/>
  <c r="AD20" i="1"/>
  <c r="AD24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V14" i="1"/>
  <c r="X14" i="1" s="1"/>
  <c r="AP10" i="1"/>
  <c r="AM10" i="1"/>
  <c r="W10" i="1"/>
  <c r="P10" i="1"/>
  <c r="Z10" i="1" s="1"/>
  <c r="G10" i="1"/>
  <c r="E10" i="1"/>
  <c r="G11" i="1"/>
  <c r="E11" i="1"/>
  <c r="V5" i="1"/>
  <c r="X5" i="1" s="1"/>
  <c r="Y5" i="1" s="1"/>
  <c r="AD2" i="1" l="1"/>
  <c r="AD19" i="1"/>
  <c r="Y19" i="1"/>
  <c r="Y6" i="1"/>
  <c r="AD6" i="1"/>
  <c r="Y3" i="1"/>
  <c r="Y4" i="1"/>
  <c r="I7" i="4"/>
  <c r="AQ10" i="1"/>
  <c r="AB10" i="1"/>
  <c r="P11" i="1"/>
  <c r="P6" i="1"/>
  <c r="G6" i="1"/>
  <c r="E6" i="1"/>
  <c r="AP2" i="1"/>
  <c r="AP3" i="1"/>
  <c r="AP4" i="1"/>
  <c r="AP8" i="1"/>
  <c r="AP9" i="1"/>
  <c r="AP5" i="1"/>
  <c r="AP14" i="1"/>
  <c r="AP15" i="1"/>
  <c r="AP16" i="1"/>
  <c r="AP17" i="1"/>
  <c r="AP21" i="1"/>
  <c r="AP22" i="1"/>
  <c r="AP12" i="1"/>
  <c r="AP26" i="1"/>
  <c r="AP23" i="1"/>
  <c r="AP13" i="1"/>
  <c r="AP28" i="1"/>
  <c r="AP18" i="1"/>
  <c r="AP29" i="1"/>
  <c r="AP30" i="1"/>
  <c r="AP31" i="1"/>
  <c r="AP32" i="1"/>
  <c r="AP33" i="1"/>
  <c r="AP34" i="1"/>
  <c r="AP27" i="1"/>
  <c r="AP35" i="1"/>
  <c r="AP36" i="1"/>
  <c r="AP37" i="1"/>
  <c r="AP6" i="1"/>
  <c r="AP11" i="1"/>
  <c r="AP20" i="1"/>
  <c r="AP24" i="1"/>
  <c r="AP38" i="1"/>
  <c r="AP39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M2" i="1"/>
  <c r="AM3" i="1"/>
  <c r="AM4" i="1"/>
  <c r="AM8" i="1"/>
  <c r="AM9" i="1"/>
  <c r="AM5" i="1"/>
  <c r="AM14" i="1"/>
  <c r="AM15" i="1"/>
  <c r="AM16" i="1"/>
  <c r="AM17" i="1"/>
  <c r="AM21" i="1"/>
  <c r="AM22" i="1"/>
  <c r="AM12" i="1"/>
  <c r="AM26" i="1"/>
  <c r="AM23" i="1"/>
  <c r="AM13" i="1"/>
  <c r="AM28" i="1"/>
  <c r="AM18" i="1"/>
  <c r="AM29" i="1"/>
  <c r="AM30" i="1"/>
  <c r="AM31" i="1"/>
  <c r="AM32" i="1"/>
  <c r="AM33" i="1"/>
  <c r="AM34" i="1"/>
  <c r="AM27" i="1"/>
  <c r="AM35" i="1"/>
  <c r="AM36" i="1"/>
  <c r="AM37" i="1"/>
  <c r="AM6" i="1"/>
  <c r="AM11" i="1"/>
  <c r="AM20" i="1"/>
  <c r="AM24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W2" i="1"/>
  <c r="W3" i="1"/>
  <c r="W4" i="1"/>
  <c r="W8" i="1"/>
  <c r="W9" i="1"/>
  <c r="W15" i="1"/>
  <c r="W16" i="1"/>
  <c r="W17" i="1"/>
  <c r="W21" i="1"/>
  <c r="W22" i="1"/>
  <c r="W12" i="1"/>
  <c r="W26" i="1"/>
  <c r="W23" i="1"/>
  <c r="W13" i="1"/>
  <c r="W28" i="1"/>
  <c r="W18" i="1"/>
  <c r="W29" i="1"/>
  <c r="W30" i="1"/>
  <c r="W31" i="1"/>
  <c r="W32" i="1"/>
  <c r="W33" i="1"/>
  <c r="W34" i="1"/>
  <c r="W27" i="1"/>
  <c r="W35" i="1"/>
  <c r="W36" i="1"/>
  <c r="W37" i="1"/>
  <c r="W6" i="1"/>
  <c r="W11" i="1"/>
  <c r="W20" i="1"/>
  <c r="W24" i="1"/>
  <c r="W38" i="1"/>
  <c r="W39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D29" i="4"/>
  <c r="D30" i="4"/>
  <c r="D31" i="4"/>
  <c r="D32" i="4"/>
  <c r="H26" i="4"/>
  <c r="H27" i="4"/>
  <c r="H28" i="4"/>
  <c r="H33" i="4"/>
  <c r="F32" i="4"/>
  <c r="G32" i="4" s="1"/>
  <c r="H32" i="4"/>
  <c r="F31" i="4"/>
  <c r="G31" i="4" s="1"/>
  <c r="H31" i="4"/>
  <c r="F30" i="4"/>
  <c r="H30" i="4"/>
  <c r="F29" i="4"/>
  <c r="G29" i="4" s="1"/>
  <c r="H29" i="4"/>
  <c r="Z15" i="1"/>
  <c r="P2" i="1"/>
  <c r="P3" i="1"/>
  <c r="P4" i="1"/>
  <c r="P8" i="1"/>
  <c r="P9" i="1"/>
  <c r="P5" i="1"/>
  <c r="Z5" i="1" s="1"/>
  <c r="AQ5" i="1" s="1"/>
  <c r="P14" i="1"/>
  <c r="P15" i="1"/>
  <c r="P16" i="1"/>
  <c r="P17" i="1"/>
  <c r="P22" i="1"/>
  <c r="P12" i="1"/>
  <c r="P26" i="1"/>
  <c r="P28" i="1"/>
  <c r="P18" i="1"/>
  <c r="P29" i="1"/>
  <c r="P30" i="1"/>
  <c r="P23" i="1"/>
  <c r="P13" i="1"/>
  <c r="P31" i="1"/>
  <c r="P32" i="1"/>
  <c r="P33" i="1"/>
  <c r="P34" i="1"/>
  <c r="P27" i="1"/>
  <c r="P35" i="1"/>
  <c r="P36" i="1"/>
  <c r="P37" i="1"/>
  <c r="P21" i="1"/>
  <c r="H10" i="4"/>
  <c r="H11" i="4"/>
  <c r="H12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F2" i="4"/>
  <c r="G2" i="4" s="1"/>
  <c r="F3" i="4"/>
  <c r="F4" i="4"/>
  <c r="G4" i="4" s="1"/>
  <c r="F5" i="4"/>
  <c r="G5" i="4" s="1"/>
  <c r="F6" i="4"/>
  <c r="G6" i="4" s="1"/>
  <c r="F8" i="4"/>
  <c r="F9" i="4"/>
  <c r="F10" i="4"/>
  <c r="G10" i="4" s="1"/>
  <c r="F11" i="4"/>
  <c r="G11" i="4" s="1"/>
  <c r="F12" i="4"/>
  <c r="G12" i="4" s="1"/>
  <c r="F13" i="4"/>
  <c r="G13" i="4" s="1"/>
  <c r="F14" i="4"/>
  <c r="F15" i="4"/>
  <c r="F16" i="4"/>
  <c r="F17" i="4"/>
  <c r="F18" i="4"/>
  <c r="G18" i="4" s="1"/>
  <c r="F19" i="4"/>
  <c r="G19" i="4" s="1"/>
  <c r="F20" i="4"/>
  <c r="F21" i="4"/>
  <c r="G21" i="4" s="1"/>
  <c r="F22" i="4"/>
  <c r="F23" i="4"/>
  <c r="F24" i="4"/>
  <c r="G24" i="4" s="1"/>
  <c r="F25" i="4"/>
  <c r="G25" i="4" s="1"/>
  <c r="F26" i="4"/>
  <c r="G26" i="4" s="1"/>
  <c r="F27" i="4"/>
  <c r="G27" i="4" s="1"/>
  <c r="F28" i="4"/>
  <c r="G28" i="4" s="1"/>
  <c r="F33" i="4"/>
  <c r="G33" i="4" s="1"/>
  <c r="F34" i="4"/>
  <c r="G34" i="4" s="1"/>
  <c r="F35" i="4"/>
  <c r="G35" i="4" s="1"/>
  <c r="F36" i="4"/>
  <c r="G36" i="4" s="1"/>
  <c r="F37" i="4"/>
  <c r="G37" i="4" s="1"/>
  <c r="F38" i="4"/>
  <c r="G38" i="4" s="1"/>
  <c r="F39" i="4"/>
  <c r="G39" i="4" s="1"/>
  <c r="F40" i="4"/>
  <c r="G40" i="4" s="1"/>
  <c r="F41" i="4"/>
  <c r="G41" i="4" s="1"/>
  <c r="F42" i="4"/>
  <c r="G42" i="4" s="1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D10" i="4"/>
  <c r="I10" i="4" s="1"/>
  <c r="D11" i="4"/>
  <c r="I11" i="4" s="1"/>
  <c r="D12" i="4"/>
  <c r="I12" i="4" s="1"/>
  <c r="D13" i="4"/>
  <c r="I13" i="4" s="1"/>
  <c r="D14" i="4"/>
  <c r="I14" i="4" s="1"/>
  <c r="D15" i="4"/>
  <c r="I15" i="4" s="1"/>
  <c r="D16" i="4"/>
  <c r="I16" i="4" s="1"/>
  <c r="D17" i="4"/>
  <c r="I17" i="4" s="1"/>
  <c r="D18" i="4"/>
  <c r="H18" i="4" s="1"/>
  <c r="D19" i="4"/>
  <c r="H19" i="4" s="1"/>
  <c r="D20" i="4"/>
  <c r="H20" i="4" s="1"/>
  <c r="D21" i="4"/>
  <c r="H21" i="4" s="1"/>
  <c r="D22" i="4"/>
  <c r="I22" i="4" s="1"/>
  <c r="D23" i="4"/>
  <c r="D24" i="4"/>
  <c r="I24" i="4" s="1"/>
  <c r="D25" i="4"/>
  <c r="I25" i="4" s="1"/>
  <c r="D26" i="4"/>
  <c r="I26" i="4" s="1"/>
  <c r="D27" i="4"/>
  <c r="I27" i="4" s="1"/>
  <c r="D28" i="4"/>
  <c r="I28" i="4" s="1"/>
  <c r="D33" i="4"/>
  <c r="I33" i="4" s="1"/>
  <c r="D34" i="4"/>
  <c r="I34" i="4" s="1"/>
  <c r="D35" i="4"/>
  <c r="I35" i="4" s="1"/>
  <c r="D36" i="4"/>
  <c r="I36" i="4" s="1"/>
  <c r="D37" i="4"/>
  <c r="I37" i="4" s="1"/>
  <c r="D38" i="4"/>
  <c r="I38" i="4" s="1"/>
  <c r="D39" i="4"/>
  <c r="I39" i="4" s="1"/>
  <c r="D40" i="4"/>
  <c r="I40" i="4" s="1"/>
  <c r="D41" i="4"/>
  <c r="I41" i="4" s="1"/>
  <c r="D42" i="4"/>
  <c r="I42" i="4" s="1"/>
  <c r="D43" i="4"/>
  <c r="I43" i="4" s="1"/>
  <c r="D44" i="4"/>
  <c r="I44" i="4" s="1"/>
  <c r="D45" i="4"/>
  <c r="I45" i="4" s="1"/>
  <c r="D46" i="4"/>
  <c r="I46" i="4" s="1"/>
  <c r="D47" i="4"/>
  <c r="I47" i="4" s="1"/>
  <c r="D48" i="4"/>
  <c r="I48" i="4" s="1"/>
  <c r="D49" i="4"/>
  <c r="I49" i="4" s="1"/>
  <c r="D50" i="4"/>
  <c r="I50" i="4" s="1"/>
  <c r="D51" i="4"/>
  <c r="I51" i="4" s="1"/>
  <c r="D52" i="4"/>
  <c r="I52" i="4" s="1"/>
  <c r="D53" i="4"/>
  <c r="I53" i="4" s="1"/>
  <c r="D54" i="4"/>
  <c r="I54" i="4" s="1"/>
  <c r="D55" i="4"/>
  <c r="I55" i="4" s="1"/>
  <c r="D56" i="4"/>
  <c r="I56" i="4" s="1"/>
  <c r="D57" i="4"/>
  <c r="I57" i="4" s="1"/>
  <c r="D9" i="4"/>
  <c r="G26" i="1"/>
  <c r="E26" i="1"/>
  <c r="B23" i="4"/>
  <c r="B24" i="4"/>
  <c r="B25" i="4"/>
  <c r="B26" i="4"/>
  <c r="B27" i="4"/>
  <c r="B28" i="4"/>
  <c r="G3" i="1"/>
  <c r="G4" i="1"/>
  <c r="G8" i="1"/>
  <c r="G9" i="1"/>
  <c r="G5" i="1"/>
  <c r="G14" i="1"/>
  <c r="G15" i="1"/>
  <c r="G16" i="1"/>
  <c r="G17" i="1"/>
  <c r="G22" i="1"/>
  <c r="G12" i="1"/>
  <c r="G28" i="1"/>
  <c r="G18" i="1"/>
  <c r="G29" i="1"/>
  <c r="G30" i="1"/>
  <c r="G23" i="1"/>
  <c r="G13" i="1"/>
  <c r="G31" i="1"/>
  <c r="G32" i="1"/>
  <c r="G33" i="1"/>
  <c r="G34" i="1"/>
  <c r="G27" i="1"/>
  <c r="G35" i="1"/>
  <c r="G36" i="1"/>
  <c r="G37" i="1"/>
  <c r="G21" i="1"/>
  <c r="G2" i="1"/>
  <c r="E27" i="1"/>
  <c r="E3" i="1"/>
  <c r="E2" i="1"/>
  <c r="E5" i="1"/>
  <c r="B3" i="4"/>
  <c r="B4" i="4"/>
  <c r="B5" i="4"/>
  <c r="B6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" i="4"/>
  <c r="D3" i="4"/>
  <c r="I3" i="4" s="1"/>
  <c r="D4" i="4"/>
  <c r="D5" i="4"/>
  <c r="D6" i="4"/>
  <c r="H6" i="4" s="1"/>
  <c r="D8" i="4"/>
  <c r="I8" i="4" s="1"/>
  <c r="D2" i="4"/>
  <c r="I2" i="4" s="1"/>
  <c r="E12" i="1"/>
  <c r="E9" i="1"/>
  <c r="E14" i="1"/>
  <c r="E15" i="1"/>
  <c r="E16" i="1"/>
  <c r="E17" i="1"/>
  <c r="E22" i="1"/>
  <c r="E28" i="1"/>
  <c r="E18" i="1"/>
  <c r="E29" i="1"/>
  <c r="E4" i="1"/>
  <c r="E30" i="1"/>
  <c r="E23" i="1"/>
  <c r="E13" i="1"/>
  <c r="E31" i="1"/>
  <c r="E32" i="1"/>
  <c r="E33" i="1"/>
  <c r="E34" i="1"/>
  <c r="E35" i="1"/>
  <c r="E36" i="1"/>
  <c r="E37" i="1"/>
  <c r="E21" i="1"/>
  <c r="E8" i="1"/>
  <c r="H17" i="4" l="1"/>
  <c r="H25" i="4"/>
  <c r="Z21" i="1"/>
  <c r="Z9" i="1"/>
  <c r="AQ9" i="1" s="1"/>
  <c r="Z8" i="1"/>
  <c r="AQ8" i="1" s="1"/>
  <c r="Z4" i="1"/>
  <c r="AQ4" i="1" s="1"/>
  <c r="Z3" i="1"/>
  <c r="AQ3" i="1" s="1"/>
  <c r="Z2" i="1"/>
  <c r="AQ2" i="1" s="1"/>
  <c r="W14" i="1"/>
  <c r="W5" i="1"/>
  <c r="I9" i="4"/>
  <c r="H9" i="4"/>
  <c r="H5" i="4"/>
  <c r="I5" i="4"/>
  <c r="H4" i="4"/>
  <c r="I4" i="4"/>
  <c r="H3" i="4"/>
  <c r="H2" i="4"/>
  <c r="I29" i="4"/>
  <c r="I30" i="4"/>
  <c r="I31" i="4"/>
  <c r="I32" i="4"/>
  <c r="H22" i="4"/>
  <c r="I23" i="4"/>
  <c r="I19" i="4"/>
  <c r="H15" i="4"/>
  <c r="I18" i="4"/>
  <c r="H8" i="4"/>
  <c r="H24" i="4"/>
  <c r="H16" i="4"/>
  <c r="I6" i="4"/>
  <c r="H14" i="4"/>
  <c r="I21" i="4"/>
  <c r="H13" i="4"/>
  <c r="I20" i="4"/>
  <c r="AR2" i="1" l="1"/>
  <c r="AB8" i="1"/>
  <c r="AB9" i="1"/>
  <c r="AB5" i="1"/>
  <c r="AD5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1E4B41-BE68-4127-82F3-8CD22ADC4805}" keepAlive="1" name="Consulta - DadosPessoaDI" description="Conexão com a consulta 'DadosPessoaDI' na pasta de trabalho." type="5" refreshedVersion="8" background="1" saveData="1">
    <dbPr connection="Provider=Microsoft.Mashup.OleDb.1;Data Source=$Workbook$;Location=DadosPessoaDI;Extended Properties=&quot;&quot;" command="SELECT * FROM [DadosPessoaDI]"/>
  </connection>
</connections>
</file>

<file path=xl/sharedStrings.xml><?xml version="1.0" encoding="utf-8"?>
<sst xmlns="http://schemas.openxmlformats.org/spreadsheetml/2006/main" count="5084" uniqueCount="3066">
  <si>
    <t>id</t>
  </si>
  <si>
    <t>nome</t>
  </si>
  <si>
    <t>squad</t>
  </si>
  <si>
    <t>status</t>
  </si>
  <si>
    <t>ordem_status</t>
  </si>
  <si>
    <t>etapa_cronograma</t>
  </si>
  <si>
    <t>is_backoffice</t>
  </si>
  <si>
    <t>bp</t>
  </si>
  <si>
    <t>desenvolvedor</t>
  </si>
  <si>
    <t>facilitador</t>
  </si>
  <si>
    <t>sponsor</t>
  </si>
  <si>
    <t>setor</t>
  </si>
  <si>
    <t>prioridade</t>
  </si>
  <si>
    <t>data_inicio</t>
  </si>
  <si>
    <t>data_fim</t>
  </si>
  <si>
    <t>duração_prev_dias</t>
  </si>
  <si>
    <t>data_inicio_real</t>
  </si>
  <si>
    <t>data_fim_real</t>
  </si>
  <si>
    <t>duração_real_dias</t>
  </si>
  <si>
    <t>progresso_pct</t>
  </si>
  <si>
    <t>observação</t>
  </si>
  <si>
    <t>Horas economizadas anuais</t>
  </si>
  <si>
    <t>Horas economizadas semana</t>
  </si>
  <si>
    <t>Retorno Previsto $</t>
  </si>
  <si>
    <t>Retorno Gerado $</t>
  </si>
  <si>
    <t>capex</t>
  </si>
  <si>
    <t>opex</t>
  </si>
  <si>
    <t>spent_capex</t>
  </si>
  <si>
    <t>spent_opex</t>
  </si>
  <si>
    <t>expected_roi</t>
  </si>
  <si>
    <t>payback_months</t>
  </si>
  <si>
    <t xml:space="preserve">Nota Impacto </t>
  </si>
  <si>
    <t>Nota Complexidade</t>
  </si>
  <si>
    <t>Nota Valor</t>
  </si>
  <si>
    <t>descricao</t>
  </si>
  <si>
    <t>nid_recommendation</t>
  </si>
  <si>
    <t>Data Pedido PMO</t>
  </si>
  <si>
    <t>Data Fim PMO</t>
  </si>
  <si>
    <t>SLA Backlog</t>
  </si>
  <si>
    <t>Data Inicio Prototipagem</t>
  </si>
  <si>
    <t>Data Fim Prototipagem2</t>
  </si>
  <si>
    <t>SLA Prototipagem</t>
  </si>
  <si>
    <t>Capex IN</t>
  </si>
  <si>
    <t>Capex  OUT</t>
  </si>
  <si>
    <t>PRJ-025</t>
  </si>
  <si>
    <t>Automação - R.A em avanço</t>
  </si>
  <si>
    <t>Automações RPA</t>
  </si>
  <si>
    <t>Encerrado</t>
  </si>
  <si>
    <t>Implantação e Monitoramento</t>
  </si>
  <si>
    <t>Henrique Emiliano</t>
  </si>
  <si>
    <t>Carlos Meinberg</t>
  </si>
  <si>
    <t>Claudio M</t>
  </si>
  <si>
    <t>Planejamento PCP - Filial</t>
  </si>
  <si>
    <t xml:space="preserve">Automação de um flluxo completo de solicitação de R.A </t>
  </si>
  <si>
    <t>-</t>
  </si>
  <si>
    <t>PRJ-026</t>
  </si>
  <si>
    <t>Automação - Visão da rotina</t>
  </si>
  <si>
    <t>Luiz Castro</t>
  </si>
  <si>
    <t>Automação de preenchimento e envio de informações semanais</t>
  </si>
  <si>
    <t>PRJ-012</t>
  </si>
  <si>
    <t>BI Controle Projetos -  Fase - Sala verde</t>
  </si>
  <si>
    <t>BI &amp; Eng. Dados</t>
  </si>
  <si>
    <t>BI controle interno de projetos - Pasta 36</t>
  </si>
  <si>
    <t>revisar</t>
  </si>
  <si>
    <t>PRJ-024</t>
  </si>
  <si>
    <t>Automação - Eficiência por célula</t>
  </si>
  <si>
    <t>Chistiane</t>
  </si>
  <si>
    <t>PRJ-029</t>
  </si>
  <si>
    <t>Melhorias Core (BI - Registro da Qualidade)</t>
  </si>
  <si>
    <t>Lucas Franca</t>
  </si>
  <si>
    <t>Ana C. Viana</t>
  </si>
  <si>
    <t>Paulo Henrique</t>
  </si>
  <si>
    <t>Controle de Qualidade - Filial</t>
  </si>
  <si>
    <t>BI - Registro da Qualidade</t>
  </si>
  <si>
    <t>aprovado</t>
  </si>
  <si>
    <t>PRJ-035</t>
  </si>
  <si>
    <t>Automação - Float</t>
  </si>
  <si>
    <t>Controle contratos manufatura no Fluig/RM</t>
  </si>
  <si>
    <t>PRJ-001</t>
  </si>
  <si>
    <t>BI People Analytics RH</t>
  </si>
  <si>
    <t>Estabilização</t>
  </si>
  <si>
    <t>Rafael Souza</t>
  </si>
  <si>
    <t>Gleizieny</t>
  </si>
  <si>
    <t>Edilaine</t>
  </si>
  <si>
    <t>Gente e Gestão</t>
  </si>
  <si>
    <t>Dashboard People Analytics para RH</t>
  </si>
  <si>
    <t>aprovar</t>
  </si>
  <si>
    <t>PRJ-002</t>
  </si>
  <si>
    <t>BI SGQ</t>
  </si>
  <si>
    <t>Go Live</t>
  </si>
  <si>
    <t>Keila</t>
  </si>
  <si>
    <t>Luiz Henrique</t>
  </si>
  <si>
    <t>SGQ - Filial</t>
  </si>
  <si>
    <t>BI para Sistema de Gestão da Qualidade</t>
  </si>
  <si>
    <t>PRJ-031</t>
  </si>
  <si>
    <t>Central de Indicadores Delp</t>
  </si>
  <si>
    <t>Excelência Operacional - Filial</t>
  </si>
  <si>
    <t>Aplicativo para centralização de indicadores Delp</t>
  </si>
  <si>
    <t>PRJ-030</t>
  </si>
  <si>
    <t>Melhorias Backoffice (BI -Suprimentos)</t>
  </si>
  <si>
    <t>Validação,  Testes e Otimização</t>
  </si>
  <si>
    <t>Marlon Tavares</t>
  </si>
  <si>
    <t>Rodrigo Nicácio</t>
  </si>
  <si>
    <t>Suprimentos - Filial</t>
  </si>
  <si>
    <t>BI-Suprimentos</t>
  </si>
  <si>
    <t>PRJ-009</t>
  </si>
  <si>
    <t>Portal de Notas Fiscais</t>
  </si>
  <si>
    <t>Software</t>
  </si>
  <si>
    <t>Coleta de Dados e Preparação do Ambiente</t>
  </si>
  <si>
    <t>Diego Bambirra</t>
  </si>
  <si>
    <t>Marcela</t>
  </si>
  <si>
    <t>Financeiro - Filial</t>
  </si>
  <si>
    <t>Portal centralizado para gestão de notas fiscais</t>
  </si>
  <si>
    <t>PRJ-015</t>
  </si>
  <si>
    <t>BI - Controle SMDR</t>
  </si>
  <si>
    <t>Entendimento e Planejamento</t>
  </si>
  <si>
    <t>Thais Felix</t>
  </si>
  <si>
    <t>Dashboard controle de qualidade CQ</t>
  </si>
  <si>
    <t>PRJ-003</t>
  </si>
  <si>
    <t>SOC</t>
  </si>
  <si>
    <t>Execução</t>
  </si>
  <si>
    <t>Wander Pereira</t>
  </si>
  <si>
    <t>Luciana</t>
  </si>
  <si>
    <t>SESMT – Segurança do Trabalho</t>
  </si>
  <si>
    <t>Sistema gestão SESMT / Saúde Ocupacional</t>
  </si>
  <si>
    <t>PRJ-004</t>
  </si>
  <si>
    <t>Apontamento Digital</t>
  </si>
  <si>
    <t>Alisson</t>
  </si>
  <si>
    <t>Apontamento digital linha SKA - Fábrica</t>
  </si>
  <si>
    <t>PRJ-005</t>
  </si>
  <si>
    <t>Data Lake DELP</t>
  </si>
  <si>
    <t>Gerência da Produção - Filial</t>
  </si>
  <si>
    <t xml:space="preserve">CÁLCULO ROI: 7,5% de economia de horas diárias de análise e compilação de dados por analistas e engenheiros.
0,075 *6 HORAS DIA = 45 min = 180 HORAS/ANO PESSOA.
Considerando 30 pessoas na Delp que analisam e compilam dados.
180 horas pessoa * 30 pessoas = 5400 horas
</t>
  </si>
  <si>
    <t>Plataforma centralizada de dados DELP</t>
  </si>
  <si>
    <t>PRJ-006</t>
  </si>
  <si>
    <t>Sistema Stratws One</t>
  </si>
  <si>
    <t>Iara</t>
  </si>
  <si>
    <t>Implantação sistema gestão estratégica Stratws One</t>
  </si>
  <si>
    <t>PRJ-010</t>
  </si>
  <si>
    <t>KaizekaGPT</t>
  </si>
  <si>
    <t>IA</t>
  </si>
  <si>
    <t>Jonatas Henrique</t>
  </si>
  <si>
    <t>Engenharia de Aplicação e Vendas</t>
  </si>
  <si>
    <t>Agente GPT suporte ao sistema Kaizeka</t>
  </si>
  <si>
    <t>PRJ-032</t>
  </si>
  <si>
    <t>Sala Tech NID</t>
  </si>
  <si>
    <t>Geral</t>
  </si>
  <si>
    <t>Construção SALA NID</t>
  </si>
  <si>
    <t>PRJ-034</t>
  </si>
  <si>
    <t>Calibre Analytics Metrologia</t>
  </si>
  <si>
    <t>Planejamento</t>
  </si>
  <si>
    <t>Maksimilian Reis</t>
  </si>
  <si>
    <t>BI Calibre Analytics Metrologia</t>
  </si>
  <si>
    <t>PRJ-023</t>
  </si>
  <si>
    <t>Gestão de Custos Usinagem</t>
  </si>
  <si>
    <t>Prototipagem/BC</t>
  </si>
  <si>
    <t>Alex Fernando</t>
  </si>
  <si>
    <t>Rodrigo Alves</t>
  </si>
  <si>
    <t>Apoio Usinagem e Montagem Mecânica</t>
  </si>
  <si>
    <t xml:space="preserve">CÁLCULO ROI: economia de horas diárias de análise e compilação de dados.
0,4 *6 HORAS DIA = 2,4 horas = 576 HORAS/ANO PESSOA.
</t>
  </si>
  <si>
    <t>Gestão de custos da área de usinagem</t>
  </si>
  <si>
    <t>PRJ-007</t>
  </si>
  <si>
    <t>Databook Digital Fase 2</t>
  </si>
  <si>
    <t>Seleção de fornecedor</t>
  </si>
  <si>
    <t>Islam</t>
  </si>
  <si>
    <t>Segunda fase do databook digital CQ</t>
  </si>
  <si>
    <t>PRJ-014</t>
  </si>
  <si>
    <t>Reformulação Delp Ideia</t>
  </si>
  <si>
    <t>Emanuelle</t>
  </si>
  <si>
    <t>Reformulação automação programa Delp Ideia</t>
  </si>
  <si>
    <t>PRJ-036</t>
  </si>
  <si>
    <t>Automatização Adm Fábrica</t>
  </si>
  <si>
    <t>Kênia Sousa</t>
  </si>
  <si>
    <t xml:space="preserve">Automação do fluxo de </t>
  </si>
  <si>
    <t>PRJ-038</t>
  </si>
  <si>
    <t>Automatização - Delp Field</t>
  </si>
  <si>
    <t>Igor Oliveira</t>
  </si>
  <si>
    <t>Marcos Lima</t>
  </si>
  <si>
    <t>Field Service</t>
  </si>
  <si>
    <t>Mapeamento e automatização do setor Delp Field</t>
  </si>
  <si>
    <t>PRJ-028</t>
  </si>
  <si>
    <t>Layout Fabril Automático</t>
  </si>
  <si>
    <t>Backlog</t>
  </si>
  <si>
    <t>PRJ-027</t>
  </si>
  <si>
    <t>BI Controle Projetos -  Fase - Pasta 36</t>
  </si>
  <si>
    <t>PRJ-008</t>
  </si>
  <si>
    <t>Orçabot - Agente de Cotações</t>
  </si>
  <si>
    <t>Darkson</t>
  </si>
  <si>
    <t>Jonatas</t>
  </si>
  <si>
    <t>Comercial Mooring</t>
  </si>
  <si>
    <t>Agente IA para automação de cotações</t>
  </si>
  <si>
    <t>PRJ-011</t>
  </si>
  <si>
    <t>Plataforma Gestão de Mudanças</t>
  </si>
  <si>
    <t>Girlesio</t>
  </si>
  <si>
    <t>Girlésio</t>
  </si>
  <si>
    <t>Plataforma para gerenciamento de gestão de mudanças</t>
  </si>
  <si>
    <t>PRJ-013</t>
  </si>
  <si>
    <t>Projeto Carregamento Fabril</t>
  </si>
  <si>
    <t>Dashboard detalhado de carregamento fabril</t>
  </si>
  <si>
    <t>PRJ-016</t>
  </si>
  <si>
    <t>CIRO Automático</t>
  </si>
  <si>
    <t>Lucas Rodrigues</t>
  </si>
  <si>
    <t>Automação do processo CIRO para CQ</t>
  </si>
  <si>
    <t>PRJ-017</t>
  </si>
  <si>
    <t>CDS Automático</t>
  </si>
  <si>
    <t>Automação do processo CDS para CQ</t>
  </si>
  <si>
    <t>PRJ-018</t>
  </si>
  <si>
    <t>Reformulação Estrutura HH/Ton</t>
  </si>
  <si>
    <t>Melhoria ERP</t>
  </si>
  <si>
    <t>Leandro</t>
  </si>
  <si>
    <t>Wagner</t>
  </si>
  <si>
    <t>Engenharia Industrial de Caldeiraria - Filial</t>
  </si>
  <si>
    <t>Reformulação estrutura apontamento HH/ton ERP</t>
  </si>
  <si>
    <t>PRJ-019</t>
  </si>
  <si>
    <t>Reserva de Material Engenharia</t>
  </si>
  <si>
    <t>Reserva de material de projetos de engenharia</t>
  </si>
  <si>
    <t>PRJ-020</t>
  </si>
  <si>
    <t>BSC Integrado Fase 3</t>
  </si>
  <si>
    <t>Bruno Lima</t>
  </si>
  <si>
    <t>Reinaldo De Paoli</t>
  </si>
  <si>
    <t>Gerência de Projetos - Filial</t>
  </si>
  <si>
    <t>Terceira fase BSC integrado - Gerência de Projeto</t>
  </si>
  <si>
    <t>PRJ-021</t>
  </si>
  <si>
    <t>Percepto - Monitoramento Processos</t>
  </si>
  <si>
    <t>Monitoramento inteligente de processos produtivos</t>
  </si>
  <si>
    <t>PRJ-022</t>
  </si>
  <si>
    <t>Controle Contratos Manufatura Fluig</t>
  </si>
  <si>
    <t>PRJ-039</t>
  </si>
  <si>
    <t>RPA - Relatório Automatizado de Ultassom</t>
  </si>
  <si>
    <t>Warley Teotonio</t>
  </si>
  <si>
    <t xml:space="preserve"> Relatório Automatizado de Ultassom</t>
  </si>
  <si>
    <t>PRJ-040</t>
  </si>
  <si>
    <t xml:space="preserve">Dashboard de conformidade Dimensional </t>
  </si>
  <si>
    <t>Controle de desempenho de caldeireiro</t>
  </si>
  <si>
    <t>PRJ-041</t>
  </si>
  <si>
    <t>Melhorias Backoffice (BI - Almoxarifado)</t>
  </si>
  <si>
    <t>Dayane Rocha</t>
  </si>
  <si>
    <t>Almoxarifado - Filial</t>
  </si>
  <si>
    <t>BI controle SLA de pendências</t>
  </si>
  <si>
    <t>cargo</t>
  </si>
  <si>
    <t>is_active</t>
  </si>
  <si>
    <t>monthly_capacity_hours</t>
  </si>
  <si>
    <t>custo_hora</t>
  </si>
  <si>
    <t>data_entrada</t>
  </si>
  <si>
    <t>MBR-001</t>
  </si>
  <si>
    <t>Tech Lead</t>
  </si>
  <si>
    <t>NID</t>
  </si>
  <si>
    <t>MBR-002</t>
  </si>
  <si>
    <t>Product Owner / QA</t>
  </si>
  <si>
    <t>MBR-003</t>
  </si>
  <si>
    <t>Analista BP</t>
  </si>
  <si>
    <t>MBR-004</t>
  </si>
  <si>
    <t>MBR-005</t>
  </si>
  <si>
    <t>César</t>
  </si>
  <si>
    <t>Analista M1</t>
  </si>
  <si>
    <t>membro_id</t>
  </si>
  <si>
    <t>membro_nome</t>
  </si>
  <si>
    <t>projeto_id</t>
  </si>
  <si>
    <t>projeto_nome</t>
  </si>
  <si>
    <t>horas_por_semana</t>
  </si>
  <si>
    <t>ALO-002</t>
  </si>
  <si>
    <t>ALO-005</t>
  </si>
  <si>
    <t>ALO-007</t>
  </si>
  <si>
    <t>ALO-011</t>
  </si>
  <si>
    <t>ALO-019</t>
  </si>
  <si>
    <t>ALO-020</t>
  </si>
  <si>
    <t>ALO-008</t>
  </si>
  <si>
    <t>ALO-015</t>
  </si>
  <si>
    <t>ALO-010</t>
  </si>
  <si>
    <t>ALO-013</t>
  </si>
  <si>
    <t>ALO-001</t>
  </si>
  <si>
    <t>ALO-012</t>
  </si>
  <si>
    <t>ALO-003</t>
  </si>
  <si>
    <t>ALO-004</t>
  </si>
  <si>
    <t>ALO-021</t>
  </si>
  <si>
    <t>ALO-014</t>
  </si>
  <si>
    <t>ALO-023</t>
  </si>
  <si>
    <t>ALO-009</t>
  </si>
  <si>
    <t>ALO-024</t>
  </si>
  <si>
    <t>ALO-006</t>
  </si>
  <si>
    <t>ALO-022</t>
  </si>
  <si>
    <t>ALO-025</t>
  </si>
  <si>
    <t>ALO-026</t>
  </si>
  <si>
    <t>ALO-027</t>
  </si>
  <si>
    <t>ALO-028</t>
  </si>
  <si>
    <t>ALO-029</t>
  </si>
  <si>
    <t>ALO-030</t>
  </si>
  <si>
    <t>ALO-031</t>
  </si>
  <si>
    <t>ALO-032</t>
  </si>
  <si>
    <t>ALO-033</t>
  </si>
  <si>
    <t>ALO-034</t>
  </si>
  <si>
    <t>ALO-035</t>
  </si>
  <si>
    <t>ALO-036</t>
  </si>
  <si>
    <t>ALO-037</t>
  </si>
  <si>
    <t>ALO-038</t>
  </si>
  <si>
    <t>ALO-039</t>
  </si>
  <si>
    <t>ALO-040</t>
  </si>
  <si>
    <t>ALO-041</t>
  </si>
  <si>
    <t>ALO-042</t>
  </si>
  <si>
    <t>ALO-043</t>
  </si>
  <si>
    <t>ALO-044</t>
  </si>
  <si>
    <t>ALO-045</t>
  </si>
  <si>
    <t>ALO-046</t>
  </si>
  <si>
    <t>ALO-047</t>
  </si>
  <si>
    <t>ALO-048</t>
  </si>
  <si>
    <t>ALO-049</t>
  </si>
  <si>
    <t>ALO-050</t>
  </si>
  <si>
    <t>ALO-051</t>
  </si>
  <si>
    <t>ALO-052</t>
  </si>
  <si>
    <t>ALO-053</t>
  </si>
  <si>
    <t>ALO-054</t>
  </si>
  <si>
    <t>ALO-055</t>
  </si>
  <si>
    <t>ALO-056</t>
  </si>
  <si>
    <t>ALO-057</t>
  </si>
  <si>
    <t>CODMO</t>
  </si>
  <si>
    <t>NOME</t>
  </si>
  <si>
    <t>funcao</t>
  </si>
  <si>
    <t>secao</t>
  </si>
  <si>
    <t>Contagem</t>
  </si>
  <si>
    <t>00008</t>
  </si>
  <si>
    <t>Mariana Zica Queiroz</t>
  </si>
  <si>
    <t>Conselheiro(a) Administrativo</t>
  </si>
  <si>
    <t>Conselho Administrativo - Filial</t>
  </si>
  <si>
    <t>00009</t>
  </si>
  <si>
    <t>Humberto Ribeiro de Mesquita Machado Zica</t>
  </si>
  <si>
    <t>Diretor Superintendente</t>
  </si>
  <si>
    <t>00010</t>
  </si>
  <si>
    <t>Adriana Ribeiro M. Machado Zica</t>
  </si>
  <si>
    <t>00017</t>
  </si>
  <si>
    <t>Josane Cristiano Brandao</t>
  </si>
  <si>
    <t>Diretor Industrial</t>
  </si>
  <si>
    <t>Diretoria - Filial</t>
  </si>
  <si>
    <t>04518</t>
  </si>
  <si>
    <t>Jose Bittencourt Mendes</t>
  </si>
  <si>
    <t>Desenhista Projetista I</t>
  </si>
  <si>
    <t>05451</t>
  </si>
  <si>
    <t>Terezinha Candida Vale</t>
  </si>
  <si>
    <t>Auxiliar de Escritório</t>
  </si>
  <si>
    <t>06826</t>
  </si>
  <si>
    <t>Jose Vicente Cordeiro</t>
  </si>
  <si>
    <t>Ajudante de Usinagem</t>
  </si>
  <si>
    <t>Usinagem Pesada - Filial</t>
  </si>
  <si>
    <t>07149</t>
  </si>
  <si>
    <t>Julio Teodoro da Silva</t>
  </si>
  <si>
    <t>Desempenador Especializado</t>
  </si>
  <si>
    <t>Pré-Montagem - Filial</t>
  </si>
  <si>
    <t>07539</t>
  </si>
  <si>
    <t>Carlos Rosa Tito</t>
  </si>
  <si>
    <t>Ajudante de Caldeiraria</t>
  </si>
  <si>
    <t>Solda Convencional</t>
  </si>
  <si>
    <t>07614</t>
  </si>
  <si>
    <t>Samuel Dias Fonseca</t>
  </si>
  <si>
    <t>Coordenador Técnico de Produção II</t>
  </si>
  <si>
    <t>07745</t>
  </si>
  <si>
    <t>Ricardo Alves Martins</t>
  </si>
  <si>
    <t>Caldeireiro III</t>
  </si>
  <si>
    <t>07795</t>
  </si>
  <si>
    <t>Antonio Carlos Luiz</t>
  </si>
  <si>
    <t>Soldador III</t>
  </si>
  <si>
    <t>07806</t>
  </si>
  <si>
    <t>Jose Salvador Cares Ramos</t>
  </si>
  <si>
    <t>Guindasteiro III</t>
  </si>
  <si>
    <t>Logística - Filial</t>
  </si>
  <si>
    <t>07817</t>
  </si>
  <si>
    <t>Afonso Flavio de Oliveira</t>
  </si>
  <si>
    <t>Operador de Máquinas de Preparação V</t>
  </si>
  <si>
    <t>Preparação - Filial</t>
  </si>
  <si>
    <t>07866</t>
  </si>
  <si>
    <t>Alexander Costa Mendes Araujo</t>
  </si>
  <si>
    <t>Gerente de SMS</t>
  </si>
  <si>
    <t>07894</t>
  </si>
  <si>
    <t>Daniel Santos Pimenta</t>
  </si>
  <si>
    <t>Operador de Máquinas Operatrizes I</t>
  </si>
  <si>
    <t>08027</t>
  </si>
  <si>
    <t>Welington Zacarias Rodrigues de Moraes</t>
  </si>
  <si>
    <t>Gerente de TI</t>
  </si>
  <si>
    <t>Tecnologia da Informação - Filial</t>
  </si>
  <si>
    <t>08136</t>
  </si>
  <si>
    <t>Thiago Lucio de Jesus</t>
  </si>
  <si>
    <t>Soldador II</t>
  </si>
  <si>
    <t>08170</t>
  </si>
  <si>
    <t>Lauro de Moraes Santos</t>
  </si>
  <si>
    <t>Auxiliar de Recursos Humanos I</t>
  </si>
  <si>
    <t>08275</t>
  </si>
  <si>
    <t>Marco Aurelio Lopes de Paula</t>
  </si>
  <si>
    <t>Inspetor Dimensional Qualificado II</t>
  </si>
  <si>
    <t>08327</t>
  </si>
  <si>
    <t>Marcela Rubia de Moura Marques Prado</t>
  </si>
  <si>
    <t>Gerente de Controladoria e Finanças</t>
  </si>
  <si>
    <t>08437</t>
  </si>
  <si>
    <t>Gleizieny Ketlen Cassiano Lopes</t>
  </si>
  <si>
    <t>Coordenador(a) DAP</t>
  </si>
  <si>
    <t>08464</t>
  </si>
  <si>
    <t>Mauricio Silva Simoes</t>
  </si>
  <si>
    <t>Gerente de Engenharia P&amp;D</t>
  </si>
  <si>
    <t>Pesquisa e Desenvolvimento - P&amp;D</t>
  </si>
  <si>
    <t>08486</t>
  </si>
  <si>
    <t>Reginaldo Costa dos Santos</t>
  </si>
  <si>
    <t>Soldador IV</t>
  </si>
  <si>
    <t>08562</t>
  </si>
  <si>
    <t>Israel Joao Lima</t>
  </si>
  <si>
    <t>08654</t>
  </si>
  <si>
    <t>Gilson Antonio de Oliveira</t>
  </si>
  <si>
    <t>Engenheiro de Projetos Líder</t>
  </si>
  <si>
    <t>Gerência da Produção - Filial RJ</t>
  </si>
  <si>
    <t>08659</t>
  </si>
  <si>
    <t>Wilian Paula Coelho</t>
  </si>
  <si>
    <t>Engenheiro de Materiais e Solda III</t>
  </si>
  <si>
    <t>Engenharia de Materiais e Solda - Filial</t>
  </si>
  <si>
    <t>08666</t>
  </si>
  <si>
    <t>Eduardo da Silva Alves</t>
  </si>
  <si>
    <t>Caldeireiro II</t>
  </si>
  <si>
    <t>08685</t>
  </si>
  <si>
    <t>Daniel Henrique da Cruz</t>
  </si>
  <si>
    <t>Engenheiro de Projetos III</t>
  </si>
  <si>
    <t>08742</t>
  </si>
  <si>
    <t>Cristiano Aleixo Ferreira</t>
  </si>
  <si>
    <t>Mandrilhador CNC III</t>
  </si>
  <si>
    <t>08766</t>
  </si>
  <si>
    <t>Gedewashington Silva Rosa</t>
  </si>
  <si>
    <t>Líder de Almoxarifado I</t>
  </si>
  <si>
    <t>09179</t>
  </si>
  <si>
    <t>Maguil Roberto Francisco dos Santos</t>
  </si>
  <si>
    <t>09200</t>
  </si>
  <si>
    <t>Andre Luiz Soares</t>
  </si>
  <si>
    <t>Soldador II de Estrutura</t>
  </si>
  <si>
    <t>09227</t>
  </si>
  <si>
    <t>Claudio Petronio Viana</t>
  </si>
  <si>
    <t>Supervisor de Solda II</t>
  </si>
  <si>
    <t>Apoio Caldeiraria</t>
  </si>
  <si>
    <t>10025</t>
  </si>
  <si>
    <t>Brenda Karoline Dias Mothe Teixeira</t>
  </si>
  <si>
    <t>Supervisor Administrativo da Produção</t>
  </si>
  <si>
    <t>10028</t>
  </si>
  <si>
    <t>Rebeca de Oliveira Santos Ferreira</t>
  </si>
  <si>
    <t>Assistente de PCP I</t>
  </si>
  <si>
    <t>Planejamento PCP - Filial RJ</t>
  </si>
  <si>
    <t>10031</t>
  </si>
  <si>
    <t>Roniere Baptista Barbosa Martins</t>
  </si>
  <si>
    <t>Analista de SMS II</t>
  </si>
  <si>
    <t>SESMT - Filial RJ</t>
  </si>
  <si>
    <t>10039</t>
  </si>
  <si>
    <t>Vinicius Souza de Freitas Junior</t>
  </si>
  <si>
    <t>Assistente Técnico de CQ Documental I</t>
  </si>
  <si>
    <t>Controle de Qualidade - Filial RJ</t>
  </si>
  <si>
    <t>10044</t>
  </si>
  <si>
    <t>Marcelo Alves Correa</t>
  </si>
  <si>
    <t>Solda - Filial RJ</t>
  </si>
  <si>
    <t>10047</t>
  </si>
  <si>
    <t>Roque Feller Follador</t>
  </si>
  <si>
    <t>10048</t>
  </si>
  <si>
    <t>Evandro Vidal do Nascimento</t>
  </si>
  <si>
    <t>Soldador Especializado</t>
  </si>
  <si>
    <t>10049</t>
  </si>
  <si>
    <t>Joazio de Jesus Rodrigues</t>
  </si>
  <si>
    <t>10050</t>
  </si>
  <si>
    <t>Eduardo Gomes Pereira</t>
  </si>
  <si>
    <t>Auxiliar de Montagem</t>
  </si>
  <si>
    <t>Pré-Montagem - Filial RJ</t>
  </si>
  <si>
    <t>10051</t>
  </si>
  <si>
    <t>Marcos Vinicios Alves de Azevedo</t>
  </si>
  <si>
    <t>Montador de Tubulação</t>
  </si>
  <si>
    <t>Montagem Mecânica - Filial RJ</t>
  </si>
  <si>
    <t>10052</t>
  </si>
  <si>
    <t>Neimar dos Anjos Nascimento</t>
  </si>
  <si>
    <t>10054</t>
  </si>
  <si>
    <t>Wallace Medeiros Rocha</t>
  </si>
  <si>
    <t>10055</t>
  </si>
  <si>
    <t>Welliton Medeiros Rocha</t>
  </si>
  <si>
    <t>10056</t>
  </si>
  <si>
    <t>Iverson Gama dos Santos Campos</t>
  </si>
  <si>
    <t>Técnico de Segurança do Trabalho II</t>
  </si>
  <si>
    <t>10064</t>
  </si>
  <si>
    <t>Rosimere Rangel Rodrigues Machado</t>
  </si>
  <si>
    <t>Auxiliar de Serviços Gerais</t>
  </si>
  <si>
    <t>10071</t>
  </si>
  <si>
    <t>Flavio Nunes de Souza</t>
  </si>
  <si>
    <t>10081</t>
  </si>
  <si>
    <t>Thiago dos Santos Cordeiro</t>
  </si>
  <si>
    <t>10084</t>
  </si>
  <si>
    <t>Breno Paes Viana</t>
  </si>
  <si>
    <t>10089</t>
  </si>
  <si>
    <t>Cristiano de Oliveira Ribeiro</t>
  </si>
  <si>
    <t>Operador de Caldeiraria II</t>
  </si>
  <si>
    <t>10108</t>
  </si>
  <si>
    <t>Ramon De Alcantara Rangel</t>
  </si>
  <si>
    <t>10111</t>
  </si>
  <si>
    <t>Lucas Ferreira Manhaes</t>
  </si>
  <si>
    <t>Pintor Jatista I</t>
  </si>
  <si>
    <t>Acabamento/Pintura - Filial RJ</t>
  </si>
  <si>
    <t>10113</t>
  </si>
  <si>
    <t>Mayron da Conceicao Peixoto</t>
  </si>
  <si>
    <t>10115</t>
  </si>
  <si>
    <t>David dos Santos Silva</t>
  </si>
  <si>
    <t>10221</t>
  </si>
  <si>
    <t>Dougras Cardoso Goncalves</t>
  </si>
  <si>
    <t>Soldador de Tubulação</t>
  </si>
  <si>
    <t>10222</t>
  </si>
  <si>
    <t>Douglas Batista da Silva</t>
  </si>
  <si>
    <t>70037</t>
  </si>
  <si>
    <t>Maurilio de Abreu</t>
  </si>
  <si>
    <t>Operador de Empilhadeira II</t>
  </si>
  <si>
    <t>70050</t>
  </si>
  <si>
    <t>Joao Batista Ferreira de Lima</t>
  </si>
  <si>
    <t>Maçariqueiro IV</t>
  </si>
  <si>
    <t>70076</t>
  </si>
  <si>
    <t>Geraldo Magela dos Santos</t>
  </si>
  <si>
    <t>70083</t>
  </si>
  <si>
    <t>Jose Wesley Braga Xavier</t>
  </si>
  <si>
    <t>70097</t>
  </si>
  <si>
    <t>Welbert Braga Xavier</t>
  </si>
  <si>
    <t>Ajudante de Pré-Montagem</t>
  </si>
  <si>
    <t>70098</t>
  </si>
  <si>
    <t>Wellington Braga Xavier</t>
  </si>
  <si>
    <t>Caldeireiro I</t>
  </si>
  <si>
    <t>70142</t>
  </si>
  <si>
    <t>Luiz Otavio da Rocha</t>
  </si>
  <si>
    <t>70171</t>
  </si>
  <si>
    <t>Rodrigo Lopes Silva</t>
  </si>
  <si>
    <t>Técnico Inspetor de Qualidade III</t>
  </si>
  <si>
    <t>Controle de Qualidade Documental - Filial</t>
  </si>
  <si>
    <t>70221</t>
  </si>
  <si>
    <t>Adimilson Ferreira de Oliveira</t>
  </si>
  <si>
    <t>Operador de Ponte II</t>
  </si>
  <si>
    <t>70232</t>
  </si>
  <si>
    <t>Joao Martins Santiago</t>
  </si>
  <si>
    <t>Mandrilhador Convencional III</t>
  </si>
  <si>
    <t>70238</t>
  </si>
  <si>
    <t>Washington Pinheiro de Souza</t>
  </si>
  <si>
    <t>Operador de Ponte I</t>
  </si>
  <si>
    <t>70253</t>
  </si>
  <si>
    <t>Marcio Doroteu</t>
  </si>
  <si>
    <t>70290</t>
  </si>
  <si>
    <t>Fabiano Pedro da Silva</t>
  </si>
  <si>
    <t>Líder de Produção II</t>
  </si>
  <si>
    <t>70292</t>
  </si>
  <si>
    <t>Vanderlucio Faustino</t>
  </si>
  <si>
    <t>Inspetor de END II</t>
  </si>
  <si>
    <t>70332</t>
  </si>
  <si>
    <t>Daniel Rosa do Amaral</t>
  </si>
  <si>
    <t>Supervisor de Manutenção Mecânica I</t>
  </si>
  <si>
    <t>Manutenção e Expansão - Filial</t>
  </si>
  <si>
    <t>70339</t>
  </si>
  <si>
    <t>Denilson Eli Amaral</t>
  </si>
  <si>
    <t>Técnico Eletrônico II</t>
  </si>
  <si>
    <t>70380</t>
  </si>
  <si>
    <t>Rodrigo Anderson dos Santos</t>
  </si>
  <si>
    <t>70427</t>
  </si>
  <si>
    <t>Edmar Inacio Camilo</t>
  </si>
  <si>
    <t>Coordenador Técnico de Manutenção II</t>
  </si>
  <si>
    <t>70451</t>
  </si>
  <si>
    <t>Deison de Freitas Silva</t>
  </si>
  <si>
    <t>Coordenador Técnico de Orçamentos II</t>
  </si>
  <si>
    <t>70452</t>
  </si>
  <si>
    <t>Diego de Almeida Evangelista</t>
  </si>
  <si>
    <t>Coordenador Técnico de Processos Especializados em Eng. Ind. Mecanica</t>
  </si>
  <si>
    <t>Engenharia Industrial Mecânica - Filial</t>
  </si>
  <si>
    <t>70460</t>
  </si>
  <si>
    <t>Wedeison Goncalves Simao</t>
  </si>
  <si>
    <t>70461</t>
  </si>
  <si>
    <t>Wellington Pires de Souza</t>
  </si>
  <si>
    <t>Engenheiro de Processos II</t>
  </si>
  <si>
    <t>70485</t>
  </si>
  <si>
    <t>Adriano Wallysson de Carvalho</t>
  </si>
  <si>
    <t>Gerente de Engenharia Mecanica</t>
  </si>
  <si>
    <t>70526</t>
  </si>
  <si>
    <t>Carlos Antonio Mariano</t>
  </si>
  <si>
    <t>Torneiro CNC III</t>
  </si>
  <si>
    <t>70528</t>
  </si>
  <si>
    <t>Marcos Jose Fernandes</t>
  </si>
  <si>
    <t>70547</t>
  </si>
  <si>
    <t>Marconi Ferreira da Silva</t>
  </si>
  <si>
    <t>Téc. de Processos Espec. Eng. Ind. Mecanica</t>
  </si>
  <si>
    <t>70576</t>
  </si>
  <si>
    <t>Rodrigo Alves Ribeiro</t>
  </si>
  <si>
    <t>Gerente de Fabricação I</t>
  </si>
  <si>
    <t>70592</t>
  </si>
  <si>
    <t>Eduardo Marcos Silva</t>
  </si>
  <si>
    <t>Engenheiro de FAT I</t>
  </si>
  <si>
    <t>70607</t>
  </si>
  <si>
    <t>Alex Fernando Santos</t>
  </si>
  <si>
    <t>Supervisor de Usinagem Pesada II</t>
  </si>
  <si>
    <t>70609</t>
  </si>
  <si>
    <t>Gasparino Rodrigues da Silva</t>
  </si>
  <si>
    <t>Líder de Pintura</t>
  </si>
  <si>
    <t>70628</t>
  </si>
  <si>
    <t>Gabriela Aparecida da Silva</t>
  </si>
  <si>
    <t>Contador(a)</t>
  </si>
  <si>
    <t>70634</t>
  </si>
  <si>
    <t>Anderson Cosme de Araujo</t>
  </si>
  <si>
    <t>70649</t>
  </si>
  <si>
    <t>Cleber Inacio Ferreira</t>
  </si>
  <si>
    <t>Mandrilhador CNC II</t>
  </si>
  <si>
    <t>70712</t>
  </si>
  <si>
    <t>Samuel Augusto da Silva</t>
  </si>
  <si>
    <t>Mandrilhador Convencional II</t>
  </si>
  <si>
    <t>70714</t>
  </si>
  <si>
    <t>Anderson Luiz dos Santos</t>
  </si>
  <si>
    <t>Operador de Preparação I</t>
  </si>
  <si>
    <t>70723</t>
  </si>
  <si>
    <t>Ramon da Costa Salome</t>
  </si>
  <si>
    <t>Supervisor de Produção II</t>
  </si>
  <si>
    <t>70736</t>
  </si>
  <si>
    <t>Marco Antonio Menezes da Silva</t>
  </si>
  <si>
    <t>70798</t>
  </si>
  <si>
    <t>Jarbas Josafa Filho</t>
  </si>
  <si>
    <t>Operador de Máquinas Operatrizes III</t>
  </si>
  <si>
    <t>70807</t>
  </si>
  <si>
    <t>Gabriel Domingues Costa</t>
  </si>
  <si>
    <t>Programador CNC III</t>
  </si>
  <si>
    <t>70816</t>
  </si>
  <si>
    <t>Marcos Jose de Melo</t>
  </si>
  <si>
    <t>Gerente de Projetos I</t>
  </si>
  <si>
    <t>70840</t>
  </si>
  <si>
    <t>Gerson Barbosa do Amaral</t>
  </si>
  <si>
    <t>Técnico Mecânico III</t>
  </si>
  <si>
    <t>70854</t>
  </si>
  <si>
    <t>Ney do Carmo Santana</t>
  </si>
  <si>
    <t>Líder de Produção I</t>
  </si>
  <si>
    <t>70864</t>
  </si>
  <si>
    <t>Wellington Paulo Costa</t>
  </si>
  <si>
    <t>Montador de Equipamentos I</t>
  </si>
  <si>
    <t>Montagem Mecânica - Filial</t>
  </si>
  <si>
    <t>70887</t>
  </si>
  <si>
    <t>Wander Lucio de Paula</t>
  </si>
  <si>
    <t>Pintor Jatista II</t>
  </si>
  <si>
    <t>Acabamento/Pintura - Filial</t>
  </si>
  <si>
    <t>70889</t>
  </si>
  <si>
    <t>Welisson dos Santos Ferreira</t>
  </si>
  <si>
    <t>70890</t>
  </si>
  <si>
    <t>Igor Emanuel Santana Lopes</t>
  </si>
  <si>
    <t>Líder de Manutenção I</t>
  </si>
  <si>
    <t>70898</t>
  </si>
  <si>
    <t>Mauro Sergio Ferreira da Silva</t>
  </si>
  <si>
    <t>Eletricista de Manutenção Industrial II</t>
  </si>
  <si>
    <t>70903</t>
  </si>
  <si>
    <t>Jonilson Silva Jatoba</t>
  </si>
  <si>
    <t>70975</t>
  </si>
  <si>
    <t>Fabio Brito Bomfim</t>
  </si>
  <si>
    <t>Engenheiro de Materiais e Solda</t>
  </si>
  <si>
    <t>70977</t>
  </si>
  <si>
    <t>Sinval Teodoro de Araujo</t>
  </si>
  <si>
    <t>Operador de Empilhadeira I</t>
  </si>
  <si>
    <t>70982</t>
  </si>
  <si>
    <t>Joao Pires de Almeida Filho</t>
  </si>
  <si>
    <t>70987</t>
  </si>
  <si>
    <t>Jessica da Matta Santos Cruz</t>
  </si>
  <si>
    <t>Coordenador(a) de Plan. e Controle de Materiais II</t>
  </si>
  <si>
    <t>70995</t>
  </si>
  <si>
    <t>Rodrigo Ferreira da Cruz</t>
  </si>
  <si>
    <t>Técnico Inspetor de Qualidade II</t>
  </si>
  <si>
    <t>71001</t>
  </si>
  <si>
    <t>Carlos Correia</t>
  </si>
  <si>
    <t>Auxiliar de Produção</t>
  </si>
  <si>
    <t>71027</t>
  </si>
  <si>
    <t>Udson Simao de Souza</t>
  </si>
  <si>
    <t>Supervisor de Manutenção Elétrica I</t>
  </si>
  <si>
    <t>71044</t>
  </si>
  <si>
    <t>Idelcy Jardim de Oliveira</t>
  </si>
  <si>
    <t>Auxiliar Técnico de Usinagem II</t>
  </si>
  <si>
    <t>71085</t>
  </si>
  <si>
    <t>Joirde Adriano Garcia</t>
  </si>
  <si>
    <t>Técnico de Utilidades I</t>
  </si>
  <si>
    <t>71095</t>
  </si>
  <si>
    <t>Cristiano Rodrigo de Oliveira</t>
  </si>
  <si>
    <t>71100</t>
  </si>
  <si>
    <t>Pedro Henrique de Castro Rabelo</t>
  </si>
  <si>
    <t>Head Comercial - Mooring e Subsea</t>
  </si>
  <si>
    <t>Comercial Subsea</t>
  </si>
  <si>
    <t>71134</t>
  </si>
  <si>
    <t>Rafael Henrique Guedes</t>
  </si>
  <si>
    <t>Montador de Equipamentos III</t>
  </si>
  <si>
    <t>71172</t>
  </si>
  <si>
    <t>Thais Felix Faria de Rezende</t>
  </si>
  <si>
    <t>Supervisor(a) de CQ Documental I</t>
  </si>
  <si>
    <t>71192</t>
  </si>
  <si>
    <t>Washington Carlos Martins</t>
  </si>
  <si>
    <t>71242</t>
  </si>
  <si>
    <t>Marcus Vinicius Santos Ferreira</t>
  </si>
  <si>
    <t>Inspetor de Qualidade II</t>
  </si>
  <si>
    <t>71325</t>
  </si>
  <si>
    <t>Flavio Henrique Dias de Lima</t>
  </si>
  <si>
    <t>Líder de Logística I</t>
  </si>
  <si>
    <t>71356</t>
  </si>
  <si>
    <t>Athos Fabio Carvalho Chagas</t>
  </si>
  <si>
    <t>Programador de Solda Robotizada IV</t>
  </si>
  <si>
    <t>71359</t>
  </si>
  <si>
    <t>Frederico Santos Ferreira</t>
  </si>
  <si>
    <t>Técnico Mecânico II</t>
  </si>
  <si>
    <t>71387</t>
  </si>
  <si>
    <t>Jefferson dos Passos Santos</t>
  </si>
  <si>
    <t>Técnico de Processos de Caldeiraria II</t>
  </si>
  <si>
    <t>71393</t>
  </si>
  <si>
    <t>Arilton Lucio de Carvalho Silva</t>
  </si>
  <si>
    <t>Soldador Especializado em Tubulação</t>
  </si>
  <si>
    <t>71411</t>
  </si>
  <si>
    <t>Ronaldo Coelho Ramalho de Campos</t>
  </si>
  <si>
    <t>Líder de Logística II</t>
  </si>
  <si>
    <t>71439</t>
  </si>
  <si>
    <t>Fabricio Jose Martins</t>
  </si>
  <si>
    <t>Torneiro CNC II</t>
  </si>
  <si>
    <t>71469</t>
  </si>
  <si>
    <t>Guilherme Eustaquio Correia</t>
  </si>
  <si>
    <t>Técnico Orçamentista III</t>
  </si>
  <si>
    <t>71517</t>
  </si>
  <si>
    <t>Joel Servio da Silva</t>
  </si>
  <si>
    <t>Desempenador III</t>
  </si>
  <si>
    <t>71597</t>
  </si>
  <si>
    <t>Vilmar Campolina Lima</t>
  </si>
  <si>
    <t>71627</t>
  </si>
  <si>
    <t>Joana Gabriela Ribeiro Vieira</t>
  </si>
  <si>
    <t>Técnico de Processos de CQ Documental I</t>
  </si>
  <si>
    <t>71632</t>
  </si>
  <si>
    <t>Alcides Ferreira dos Santos</t>
  </si>
  <si>
    <t>71657</t>
  </si>
  <si>
    <t>Vinicius Castro de Morais</t>
  </si>
  <si>
    <t>71658</t>
  </si>
  <si>
    <t>Braulio Felipe Rodrigues</t>
  </si>
  <si>
    <t>71688</t>
  </si>
  <si>
    <t>Hilton Barbosa Tadeu Junior</t>
  </si>
  <si>
    <t>71716</t>
  </si>
  <si>
    <t>Ricardo Dias Rocha Oliveira</t>
  </si>
  <si>
    <t>71735</t>
  </si>
  <si>
    <t>Luciene Oliveira Santos</t>
  </si>
  <si>
    <t>Solda Robotizada</t>
  </si>
  <si>
    <t>71778</t>
  </si>
  <si>
    <t>Leonardo de Jesus Silva</t>
  </si>
  <si>
    <t>Operador de Estação de Tratamento II</t>
  </si>
  <si>
    <t>71850</t>
  </si>
  <si>
    <t>Dhiego Luiz dos Santos Afonso</t>
  </si>
  <si>
    <t>Pintor Letrista</t>
  </si>
  <si>
    <t>71852</t>
  </si>
  <si>
    <t>Gilsimar Lopes de Amorim</t>
  </si>
  <si>
    <t>Técnico de Logística I</t>
  </si>
  <si>
    <t>71861</t>
  </si>
  <si>
    <t>Pedro William de Oliveira Goncalves</t>
  </si>
  <si>
    <t>71897</t>
  </si>
  <si>
    <t>Adelco Joaquim Moreira</t>
  </si>
  <si>
    <t>71898</t>
  </si>
  <si>
    <t>Antonio Jardel Rodrigues de Almeida</t>
  </si>
  <si>
    <t>Técnico de Tratamento Térmico</t>
  </si>
  <si>
    <t>Forno de Tratamento Térmico</t>
  </si>
  <si>
    <t>71903</t>
  </si>
  <si>
    <t>Paulo Henrique Ornelas de Carvalho</t>
  </si>
  <si>
    <t>Gerente de Controle de Qualidade</t>
  </si>
  <si>
    <t>71919</t>
  </si>
  <si>
    <t>Rodrigo Luiz Costa Domingos</t>
  </si>
  <si>
    <t>71986</t>
  </si>
  <si>
    <t>Andre Nunes dos Reis</t>
  </si>
  <si>
    <t>Inspetor de Soldagem III</t>
  </si>
  <si>
    <t>71993</t>
  </si>
  <si>
    <t>Tales Junior da Silva</t>
  </si>
  <si>
    <t>Maçariqueiro II</t>
  </si>
  <si>
    <t>72001</t>
  </si>
  <si>
    <t>Philemon Silva Aguiar</t>
  </si>
  <si>
    <t>Auxiliar Técnico de Usinagem III</t>
  </si>
  <si>
    <t>72003</t>
  </si>
  <si>
    <t>Fabiano Andrade Costa</t>
  </si>
  <si>
    <t>Líder de SMS</t>
  </si>
  <si>
    <t>72004</t>
  </si>
  <si>
    <t>Ana Maria de Ramos Pimentel Batista</t>
  </si>
  <si>
    <t>Supervisor (a) de Suprimentos II</t>
  </si>
  <si>
    <t>72032</t>
  </si>
  <si>
    <t>Adilson Alves de Azevedo</t>
  </si>
  <si>
    <t>72067</t>
  </si>
  <si>
    <t>Allyson Moreira de Almeida</t>
  </si>
  <si>
    <t>Coordenador Técnico de Produção I</t>
  </si>
  <si>
    <t>72077</t>
  </si>
  <si>
    <t>Wagner Ferreira de Sa</t>
  </si>
  <si>
    <t>72082</t>
  </si>
  <si>
    <t>Gilmar Fagundes de Oliveira</t>
  </si>
  <si>
    <t>Operador de Máquinas de Preparação I</t>
  </si>
  <si>
    <t>72086</t>
  </si>
  <si>
    <t>Lourival Joaquim da Silva</t>
  </si>
  <si>
    <t>Maçariqueiro I</t>
  </si>
  <si>
    <t>72091</t>
  </si>
  <si>
    <t>Robson Vinicius Ferreira</t>
  </si>
  <si>
    <t>72101</t>
  </si>
  <si>
    <t>Leandro Rodrigues Toledo</t>
  </si>
  <si>
    <t>Coordenador Técnico Eng. Ind. Caldeiraria II</t>
  </si>
  <si>
    <t>72104</t>
  </si>
  <si>
    <t>Rudaif Russi Lima de Oliveira</t>
  </si>
  <si>
    <t>72106</t>
  </si>
  <si>
    <t>Valmir Lopes Pinto</t>
  </si>
  <si>
    <t>72107</t>
  </si>
  <si>
    <t>Alex Junior Ribeiro dos Santos</t>
  </si>
  <si>
    <t>72110</t>
  </si>
  <si>
    <t>Francisco Augusto da Silva de Deus</t>
  </si>
  <si>
    <t>72116</t>
  </si>
  <si>
    <t>Joao Eduardo Soares Costa</t>
  </si>
  <si>
    <t>Coordenador Técnico de Planejamento I</t>
  </si>
  <si>
    <t>72117</t>
  </si>
  <si>
    <t>Jose Afonso de Araujo</t>
  </si>
  <si>
    <t>72119</t>
  </si>
  <si>
    <t>Jose Murillo Macedo Bicalho Junior</t>
  </si>
  <si>
    <t>Técnico de Processos de Logística I</t>
  </si>
  <si>
    <t>72130</t>
  </si>
  <si>
    <t>Wagner Aparecido Ribeiro Felipe</t>
  </si>
  <si>
    <t>72140</t>
  </si>
  <si>
    <t>Newton Santiago Mendes</t>
  </si>
  <si>
    <t>Especialista de Acabamento</t>
  </si>
  <si>
    <t>72141</t>
  </si>
  <si>
    <t>Raul Alves Junior</t>
  </si>
  <si>
    <t>72142</t>
  </si>
  <si>
    <t>Rogeres de Oliveira Santos</t>
  </si>
  <si>
    <t>72143</t>
  </si>
  <si>
    <t>Valdeci Hilario Viana</t>
  </si>
  <si>
    <t>72145</t>
  </si>
  <si>
    <t>Wandeson Carneiro Santana</t>
  </si>
  <si>
    <t>72146</t>
  </si>
  <si>
    <t>Anderson Candido dos Santos</t>
  </si>
  <si>
    <t>72160</t>
  </si>
  <si>
    <t>Moises Amaral Silva</t>
  </si>
  <si>
    <t>Mandrilhador Convencional I</t>
  </si>
  <si>
    <t>72188</t>
  </si>
  <si>
    <t>Mario Fernandes Duarte</t>
  </si>
  <si>
    <t>72195</t>
  </si>
  <si>
    <t>Sebastiao Adriano Pereira Costa Filho</t>
  </si>
  <si>
    <t>72197</t>
  </si>
  <si>
    <t>Elio Barbosa Lima</t>
  </si>
  <si>
    <t>72202</t>
  </si>
  <si>
    <t>Nilmar Evandro Celestino da Silva</t>
  </si>
  <si>
    <t>72208</t>
  </si>
  <si>
    <t>Edson Fagundes Goncalves</t>
  </si>
  <si>
    <t>72213</t>
  </si>
  <si>
    <t>Gabriele Fernandes Souza Vieira</t>
  </si>
  <si>
    <t>Líder de Inspeção da Qualidade I</t>
  </si>
  <si>
    <t>72215</t>
  </si>
  <si>
    <t>Calebe Vinicius Totte Grigorio</t>
  </si>
  <si>
    <t>Téc. de Processos Eng. Ind. Caldeiraria III</t>
  </si>
  <si>
    <t>72231</t>
  </si>
  <si>
    <t>Renan de Aguiar Ribeiro</t>
  </si>
  <si>
    <t>Eletricista de FAT II</t>
  </si>
  <si>
    <t>72237</t>
  </si>
  <si>
    <t>Jose Moises Simeao</t>
  </si>
  <si>
    <t>72243</t>
  </si>
  <si>
    <t>Agnaldo dos Santos Mendes</t>
  </si>
  <si>
    <t>72248</t>
  </si>
  <si>
    <t>Elionildo Goncalves Lopes</t>
  </si>
  <si>
    <t>72258</t>
  </si>
  <si>
    <t>Wallison Jose Lemos</t>
  </si>
  <si>
    <t>72263</t>
  </si>
  <si>
    <t>Claudio Henrique da Silva Ribeiro</t>
  </si>
  <si>
    <t>72268</t>
  </si>
  <si>
    <t>Webert Coutinho Alves</t>
  </si>
  <si>
    <t>72269</t>
  </si>
  <si>
    <t>Alex Junior de Jesus Anastacio</t>
  </si>
  <si>
    <t>72270</t>
  </si>
  <si>
    <t>Christiane Azeredo Soares</t>
  </si>
  <si>
    <t>Coordenador Técnico de Planejamento II</t>
  </si>
  <si>
    <t>72276</t>
  </si>
  <si>
    <t>Josimar Adriano Cardoso de Almeida</t>
  </si>
  <si>
    <t>72286</t>
  </si>
  <si>
    <t>Andre Luiz Pereira Junior</t>
  </si>
  <si>
    <t>Operador de Máquinas de Preparação II</t>
  </si>
  <si>
    <t>72308</t>
  </si>
  <si>
    <t>Bruna Estela de Jesus Fagundes</t>
  </si>
  <si>
    <t>72319</t>
  </si>
  <si>
    <t>Miryan Luana Souza Assis</t>
  </si>
  <si>
    <t>Analista de Contratos II</t>
  </si>
  <si>
    <t>72324</t>
  </si>
  <si>
    <t>Helberth Venero Machado</t>
  </si>
  <si>
    <t>72345</t>
  </si>
  <si>
    <t>Alexandre Silva Costa</t>
  </si>
  <si>
    <t>72351</t>
  </si>
  <si>
    <t>Robson de Almeida Pessoa</t>
  </si>
  <si>
    <t>Técnico de Planejamento III</t>
  </si>
  <si>
    <t>72363</t>
  </si>
  <si>
    <t>Vinicius Fernandes Duarte Prates</t>
  </si>
  <si>
    <t>Analista de Planejamento de Manutenção I</t>
  </si>
  <si>
    <t>72399</t>
  </si>
  <si>
    <t>Andre Luiz Alves da Silva</t>
  </si>
  <si>
    <t>Coordenador Técnico de Controle de Qualidade</t>
  </si>
  <si>
    <t>72400</t>
  </si>
  <si>
    <t>Thiago Ribeiro da Silva</t>
  </si>
  <si>
    <t>Gerente Comercial I</t>
  </si>
  <si>
    <t>72423</t>
  </si>
  <si>
    <t>Leandro Ywis Oliveira da Silva</t>
  </si>
  <si>
    <t>Técnico de Processos EMS III</t>
  </si>
  <si>
    <t>72424</t>
  </si>
  <si>
    <t>Wagner Lucio de Aquino</t>
  </si>
  <si>
    <t>72427</t>
  </si>
  <si>
    <t>Rayner Rodrigo Silva Melo</t>
  </si>
  <si>
    <t>72447</t>
  </si>
  <si>
    <t>Jose Newton Alves de Oliveira</t>
  </si>
  <si>
    <t>72451</t>
  </si>
  <si>
    <t>Vitor Vilas Boas Tropia Oliveira</t>
  </si>
  <si>
    <t>72455</t>
  </si>
  <si>
    <t>Egon Henrique de Menezes Reis</t>
  </si>
  <si>
    <t>Soldador I</t>
  </si>
  <si>
    <t>72457</t>
  </si>
  <si>
    <t>Jackson Magalhaes dos Santos</t>
  </si>
  <si>
    <t>72458</t>
  </si>
  <si>
    <t>Mauricio Raimundo Pinto</t>
  </si>
  <si>
    <t>Especialista de Processo de Soldagem</t>
  </si>
  <si>
    <t>72468</t>
  </si>
  <si>
    <t>Marcio Goncalves dos Santos</t>
  </si>
  <si>
    <t>72472</t>
  </si>
  <si>
    <t>Adonias de Almeida Rocha Neto</t>
  </si>
  <si>
    <t>72475</t>
  </si>
  <si>
    <t>Walison Carmo Gomes</t>
  </si>
  <si>
    <t>72479</t>
  </si>
  <si>
    <t>Hiago Silva Pereira</t>
  </si>
  <si>
    <t>72482</t>
  </si>
  <si>
    <t>Marcos Rodrigues Silva Reis</t>
  </si>
  <si>
    <t>Eletricista de Manutenção Industrial I</t>
  </si>
  <si>
    <t>72487</t>
  </si>
  <si>
    <t>Sauro Fonseca Almeida</t>
  </si>
  <si>
    <t>Almoxarife I</t>
  </si>
  <si>
    <t>72523</t>
  </si>
  <si>
    <t>Otavio Dutra</t>
  </si>
  <si>
    <t>Operador de Máquinas Operatrizes II</t>
  </si>
  <si>
    <t>Ferramentaria - Filial</t>
  </si>
  <si>
    <t>72526</t>
  </si>
  <si>
    <t>Wander Felipe Santos Pereira</t>
  </si>
  <si>
    <t>72536</t>
  </si>
  <si>
    <t>Amilton de Resende Coelho</t>
  </si>
  <si>
    <t>72537</t>
  </si>
  <si>
    <t>Gresiano Silva Ferreira</t>
  </si>
  <si>
    <t>72541</t>
  </si>
  <si>
    <t>Vanderlei Felismino Aires</t>
  </si>
  <si>
    <t>Operador de Ajustagem II</t>
  </si>
  <si>
    <t>72545</t>
  </si>
  <si>
    <t>Felipe Ferreira da Costa</t>
  </si>
  <si>
    <t>72556</t>
  </si>
  <si>
    <t>Jose Rander Salome Junior</t>
  </si>
  <si>
    <t>72561</t>
  </si>
  <si>
    <t>Robson de Jesus Machado</t>
  </si>
  <si>
    <t>72564</t>
  </si>
  <si>
    <t>Wagner Nobre Evangelista</t>
  </si>
  <si>
    <t xml:space="preserve">Coordenador de TI </t>
  </si>
  <si>
    <t>72567</t>
  </si>
  <si>
    <t>Jose Geraldo de Souza Neto</t>
  </si>
  <si>
    <t>72569</t>
  </si>
  <si>
    <t>Renato Augusto Ribeiro</t>
  </si>
  <si>
    <t>72570</t>
  </si>
  <si>
    <t>Andre Luiz Barbosa Marques</t>
  </si>
  <si>
    <t>Operador de Soldagem II</t>
  </si>
  <si>
    <t>72575</t>
  </si>
  <si>
    <t>Ana Clara Almeida Viana</t>
  </si>
  <si>
    <t>Auxiliar Técnico de CQ Documental III</t>
  </si>
  <si>
    <t>72577</t>
  </si>
  <si>
    <t>Jose Vicente Lopes Xavier</t>
  </si>
  <si>
    <t>72583</t>
  </si>
  <si>
    <t>Ademar Barbosa da Silva</t>
  </si>
  <si>
    <t>72589</t>
  </si>
  <si>
    <t>Douglas Henrique Nunes</t>
  </si>
  <si>
    <t>Coordenador Técnico de Orçamentos III</t>
  </si>
  <si>
    <t>72592</t>
  </si>
  <si>
    <t>Thatiane Goncalves de Andrade</t>
  </si>
  <si>
    <t>Coordenador Técnico de Processos de Pintura II</t>
  </si>
  <si>
    <t>72594</t>
  </si>
  <si>
    <t>Hugo Henrique Garcia Vicente</t>
  </si>
  <si>
    <t>72596</t>
  </si>
  <si>
    <t>Darkson Brener Sales Rodrigues</t>
  </si>
  <si>
    <t>Analista Administrativo Comercial I</t>
  </si>
  <si>
    <t>72598</t>
  </si>
  <si>
    <t>Alisson Lemes de Souza</t>
  </si>
  <si>
    <t>Analista de Planejamento I</t>
  </si>
  <si>
    <t>72599</t>
  </si>
  <si>
    <t>Bruno Lima Gomes</t>
  </si>
  <si>
    <t>Gerente de Projetos II</t>
  </si>
  <si>
    <t>72604</t>
  </si>
  <si>
    <t>Antonio Celio Ferreira</t>
  </si>
  <si>
    <t>72605</t>
  </si>
  <si>
    <t>Carlucio Pereira de Souza</t>
  </si>
  <si>
    <t>72606</t>
  </si>
  <si>
    <t>Dauler Felipe Simao</t>
  </si>
  <si>
    <t>Analista de SMS de Campo I</t>
  </si>
  <si>
    <t>72609</t>
  </si>
  <si>
    <t>Jonatas Cardoso Nonato</t>
  </si>
  <si>
    <t>Técnico de Planejamento I</t>
  </si>
  <si>
    <t>72611</t>
  </si>
  <si>
    <t>Jose Paulino da Paixao</t>
  </si>
  <si>
    <t>72613</t>
  </si>
  <si>
    <t>Sidnei Tercete</t>
  </si>
  <si>
    <t>72615</t>
  </si>
  <si>
    <t>Welington Maximo de Deus</t>
  </si>
  <si>
    <t>72622</t>
  </si>
  <si>
    <t>Marcos de Miranda Pinto</t>
  </si>
  <si>
    <t>72623</t>
  </si>
  <si>
    <t>Marcos Soares Rosa</t>
  </si>
  <si>
    <t>72625</t>
  </si>
  <si>
    <t>Tamiris Felix Faria de Rezende</t>
  </si>
  <si>
    <t>Analista de CQ Documental I</t>
  </si>
  <si>
    <t>72632</t>
  </si>
  <si>
    <t>Juliomar Costa Real</t>
  </si>
  <si>
    <t>72633</t>
  </si>
  <si>
    <t>Maic Gomes Rodrigues</t>
  </si>
  <si>
    <t>72638</t>
  </si>
  <si>
    <t>Diego Henrique Alves de Souza Silva</t>
  </si>
  <si>
    <t>72645</t>
  </si>
  <si>
    <t>Rodrigo Ribeiro Batista</t>
  </si>
  <si>
    <t>72648</t>
  </si>
  <si>
    <t>Wesley Santiago Dias</t>
  </si>
  <si>
    <t>72660</t>
  </si>
  <si>
    <t>Webert Santos da Silva</t>
  </si>
  <si>
    <t>72661</t>
  </si>
  <si>
    <t>Diego Carlos Santos Ladeira</t>
  </si>
  <si>
    <t>72664</t>
  </si>
  <si>
    <t>Hebert Antonio Ribeiro</t>
  </si>
  <si>
    <t>72665</t>
  </si>
  <si>
    <t>Heloiso Araujo Silva</t>
  </si>
  <si>
    <t>72668</t>
  </si>
  <si>
    <t>Rosivaldo Santos Santana</t>
  </si>
  <si>
    <t>72673</t>
  </si>
  <si>
    <t>Paulo Goncalves Andrade</t>
  </si>
  <si>
    <t>Auxiliar Técnico de Pintura II</t>
  </si>
  <si>
    <t>72695</t>
  </si>
  <si>
    <t>Julio Cesar Duarte Viana</t>
  </si>
  <si>
    <t>Inspetor de Qualidade III</t>
  </si>
  <si>
    <t>72698</t>
  </si>
  <si>
    <t>Thiago Alves da Silva Marques</t>
  </si>
  <si>
    <t>Téc. de Processos Eng. Ind. Mecanica I</t>
  </si>
  <si>
    <t>72702</t>
  </si>
  <si>
    <t>Alberto Cesar Alves da Silveira</t>
  </si>
  <si>
    <t>Auxiliar Técnico de PCP III</t>
  </si>
  <si>
    <t>72705</t>
  </si>
  <si>
    <t>Rafael Jose da Silva</t>
  </si>
  <si>
    <t>72706</t>
  </si>
  <si>
    <t>Thaynara Maria Aires Garcia</t>
  </si>
  <si>
    <t>Assistente de Compras III</t>
  </si>
  <si>
    <t>72707</t>
  </si>
  <si>
    <t>Brayan Henrique de Souza Rodrigues</t>
  </si>
  <si>
    <t>Assistente de Negócios I</t>
  </si>
  <si>
    <t>72708</t>
  </si>
  <si>
    <t>Cleber Roberto da Silva</t>
  </si>
  <si>
    <t>72709</t>
  </si>
  <si>
    <t>Evandro Pereira dos Santos</t>
  </si>
  <si>
    <t>72712</t>
  </si>
  <si>
    <t>Warlen de Oliveira</t>
  </si>
  <si>
    <t>72716</t>
  </si>
  <si>
    <t>Flavia Goncalves de Freitas</t>
  </si>
  <si>
    <t>Auxiliar Técnico de Excelência Operacional II</t>
  </si>
  <si>
    <t>72718</t>
  </si>
  <si>
    <t>Geraldo Oliveira Rosa</t>
  </si>
  <si>
    <t>72720</t>
  </si>
  <si>
    <t>Thiago Henrique Camilo dos Santos</t>
  </si>
  <si>
    <t>Auxiliar Téc. de Eng. Ind. de Caldeiraria II</t>
  </si>
  <si>
    <t>72722</t>
  </si>
  <si>
    <t>Fabio Jonatah Abreu de Oliveira</t>
  </si>
  <si>
    <t>Caldeireiro de Excelência Operacional I</t>
  </si>
  <si>
    <t>72723</t>
  </si>
  <si>
    <t>Fagner Fernandes da Mata Moreira</t>
  </si>
  <si>
    <t>Operador de Caldeiraria III</t>
  </si>
  <si>
    <t>72725</t>
  </si>
  <si>
    <t>Gilberto Moreira de Oliveira</t>
  </si>
  <si>
    <t>72734</t>
  </si>
  <si>
    <t>Valdinei de Souza Almeida</t>
  </si>
  <si>
    <t>72736</t>
  </si>
  <si>
    <t>Gabriel Diego da Silva</t>
  </si>
  <si>
    <t>72737</t>
  </si>
  <si>
    <t>Jhonatan Gomes Moreira</t>
  </si>
  <si>
    <t>72739</t>
  </si>
  <si>
    <t>Dione William Almeida Castro</t>
  </si>
  <si>
    <t>72768</t>
  </si>
  <si>
    <t>Diego Lucas Pereira Alves</t>
  </si>
  <si>
    <t>72769</t>
  </si>
  <si>
    <t>Douglas de Oliveira Marcelino</t>
  </si>
  <si>
    <t>72775</t>
  </si>
  <si>
    <t>Matheus Felipe Moreira da Silva</t>
  </si>
  <si>
    <t>72777</t>
  </si>
  <si>
    <t>Tiago Miguel de Lima</t>
  </si>
  <si>
    <t>72792</t>
  </si>
  <si>
    <t>Tiago Augusto Rafael Moreira</t>
  </si>
  <si>
    <t>72796</t>
  </si>
  <si>
    <t>Eder Anderson Lourenco</t>
  </si>
  <si>
    <t>72801</t>
  </si>
  <si>
    <t>Denis Patrick Goncalves</t>
  </si>
  <si>
    <t>72806</t>
  </si>
  <si>
    <t>Rodrigo da Silva Souza</t>
  </si>
  <si>
    <t>Líder de Inspeção da Qualidade II</t>
  </si>
  <si>
    <t>72807</t>
  </si>
  <si>
    <t>Solonito Hilario da Silva</t>
  </si>
  <si>
    <t>72811</t>
  </si>
  <si>
    <t>Diego de Souza Macario</t>
  </si>
  <si>
    <t>72813</t>
  </si>
  <si>
    <t>Douglas Ferreira Costa</t>
  </si>
  <si>
    <t>72814</t>
  </si>
  <si>
    <t>Fernando Moreira dos Santos</t>
  </si>
  <si>
    <t>72818</t>
  </si>
  <si>
    <t>Jardel Ferreira Dias</t>
  </si>
  <si>
    <t>Desempenador I</t>
  </si>
  <si>
    <t>72819</t>
  </si>
  <si>
    <t>Jonas Gabriel Lopes</t>
  </si>
  <si>
    <t>72820</t>
  </si>
  <si>
    <t>Julio Cesar Moreira</t>
  </si>
  <si>
    <t>72822</t>
  </si>
  <si>
    <t>Luiz Gustavo Santos Barboza</t>
  </si>
  <si>
    <t>72826</t>
  </si>
  <si>
    <t>Rafael Fernando Mendes</t>
  </si>
  <si>
    <t>72830</t>
  </si>
  <si>
    <t>Vinicius Andrade Valadares</t>
  </si>
  <si>
    <t>Mandrilhador CNC I</t>
  </si>
  <si>
    <t>72852</t>
  </si>
  <si>
    <t>Giselie Coelho Ogando</t>
  </si>
  <si>
    <t>Coordenador(a) Técnico de Projetos I</t>
  </si>
  <si>
    <t>72867</t>
  </si>
  <si>
    <t>Moises Cassiano Soares de Sousa</t>
  </si>
  <si>
    <t>72879</t>
  </si>
  <si>
    <t>Joel Salvador Santana</t>
  </si>
  <si>
    <t>72899</t>
  </si>
  <si>
    <t>Jose Emanoel de Sousa</t>
  </si>
  <si>
    <t>72907</t>
  </si>
  <si>
    <t>Marlon Vinicius Correa</t>
  </si>
  <si>
    <t>Assistente de Projetos III</t>
  </si>
  <si>
    <t>72922</t>
  </si>
  <si>
    <t>Guilherme Araujo dos Santos</t>
  </si>
  <si>
    <t>Analista de Planejamento de Materiais e Programação e Corte II</t>
  </si>
  <si>
    <t>72923</t>
  </si>
  <si>
    <t>Joao Marcos Rodrigues Rosa</t>
  </si>
  <si>
    <t>72927</t>
  </si>
  <si>
    <t>Lucas Viana Rodrigues dos Reis</t>
  </si>
  <si>
    <t>Assistente de Desenvolvimento I</t>
  </si>
  <si>
    <t>72928</t>
  </si>
  <si>
    <t>Vander Ribeiro</t>
  </si>
  <si>
    <t>72929</t>
  </si>
  <si>
    <t>Vinicius Belchior Bezerra</t>
  </si>
  <si>
    <t>72936</t>
  </si>
  <si>
    <t>Jose Claudio Barboza</t>
  </si>
  <si>
    <t>72945</t>
  </si>
  <si>
    <t>Jose Gomes de Oliveira</t>
  </si>
  <si>
    <t>72956</t>
  </si>
  <si>
    <t>Rafael Alves Silva</t>
  </si>
  <si>
    <t>72965</t>
  </si>
  <si>
    <t>Joao Carlos de Jesus</t>
  </si>
  <si>
    <t>Linha Automatizada</t>
  </si>
  <si>
    <t>72971</t>
  </si>
  <si>
    <t>Roberto de Souza Junior</t>
  </si>
  <si>
    <t>72975</t>
  </si>
  <si>
    <t>Jose Miguel dos Santos</t>
  </si>
  <si>
    <t>72981</t>
  </si>
  <si>
    <t>Fabricio Domingos Ribeiro</t>
  </si>
  <si>
    <t>72982</t>
  </si>
  <si>
    <t>Joao Celestino de Oliveira</t>
  </si>
  <si>
    <t>72987</t>
  </si>
  <si>
    <t>Matheus Felipe Diniz</t>
  </si>
  <si>
    <t>72988</t>
  </si>
  <si>
    <t>Adnilson Pereira da Silva</t>
  </si>
  <si>
    <t>Líder de Solda II</t>
  </si>
  <si>
    <t>72989</t>
  </si>
  <si>
    <t>Carlos Roberto Aloisio</t>
  </si>
  <si>
    <t>72990</t>
  </si>
  <si>
    <t>Edimar Rodrigues Ferreira</t>
  </si>
  <si>
    <t>72991</t>
  </si>
  <si>
    <t>Fernando Goncalves de Oliveira</t>
  </si>
  <si>
    <t>72993</t>
  </si>
  <si>
    <t>Geraldo Gomes Ferreira</t>
  </si>
  <si>
    <t>72994</t>
  </si>
  <si>
    <t>Gilberto Alcantara de Araujo</t>
  </si>
  <si>
    <t>72998</t>
  </si>
  <si>
    <t>Marcos Otavio Diniz Figueiredo</t>
  </si>
  <si>
    <t>72999</t>
  </si>
  <si>
    <t>Paraguacu Nonato dos Santos</t>
  </si>
  <si>
    <t>73000</t>
  </si>
  <si>
    <t>Ricardo de Oliveira Moreira</t>
  </si>
  <si>
    <t>73003</t>
  </si>
  <si>
    <t>Alexandre Alacoque Coelho</t>
  </si>
  <si>
    <t>73006</t>
  </si>
  <si>
    <t>Ivan Francklim</t>
  </si>
  <si>
    <t>73009</t>
  </si>
  <si>
    <t>Benedito Claudio Barreto Henriques</t>
  </si>
  <si>
    <t>Almoxarife III</t>
  </si>
  <si>
    <t>Almoxarifado - Filial RJ</t>
  </si>
  <si>
    <t>73012</t>
  </si>
  <si>
    <t>Josiel Abreu Gomes</t>
  </si>
  <si>
    <t>Eletricista de Manutenção Industrial III</t>
  </si>
  <si>
    <t>Manutenção - Filial RJ</t>
  </si>
  <si>
    <t>73014</t>
  </si>
  <si>
    <t>Paulo Francisco Anselme Siqueira Barros</t>
  </si>
  <si>
    <t>Coordenador de SMS</t>
  </si>
  <si>
    <t>73018</t>
  </si>
  <si>
    <t>Guilherme Daniel Fonseca</t>
  </si>
  <si>
    <t>73020</t>
  </si>
  <si>
    <t>Mateus Henrique de Souza Oliveira</t>
  </si>
  <si>
    <t>73022</t>
  </si>
  <si>
    <t>Nathalia Moura de Paula</t>
  </si>
  <si>
    <t>73023</t>
  </si>
  <si>
    <t>Daiane Goncalves de Oliveira</t>
  </si>
  <si>
    <t>Assistente de Facilities I</t>
  </si>
  <si>
    <t>Facilities</t>
  </si>
  <si>
    <t>73024</t>
  </si>
  <si>
    <t>Douglas Moreira do Nascimento</t>
  </si>
  <si>
    <t>73030</t>
  </si>
  <si>
    <t>Altair Salviano de Oliveira</t>
  </si>
  <si>
    <t>73031</t>
  </si>
  <si>
    <t>Carlos Alberto de Souza</t>
  </si>
  <si>
    <t>73034</t>
  </si>
  <si>
    <t>Marcio Junio de Oliveira</t>
  </si>
  <si>
    <t>73035</t>
  </si>
  <si>
    <t>Mateus Felipe Oliveira da Silva</t>
  </si>
  <si>
    <t>73040</t>
  </si>
  <si>
    <t>Alan Peixoto Barreto</t>
  </si>
  <si>
    <t xml:space="preserve">Gerente de Planejamento </t>
  </si>
  <si>
    <t>73046</t>
  </si>
  <si>
    <t>Alair dos Reis Duarte</t>
  </si>
  <si>
    <t>Técnico de Segurança do Trabalho III</t>
  </si>
  <si>
    <t>73054</t>
  </si>
  <si>
    <t>Kleiton Henrique Ferreira</t>
  </si>
  <si>
    <t>73055</t>
  </si>
  <si>
    <t>Mauricio Simil Ferreira</t>
  </si>
  <si>
    <t>73063</t>
  </si>
  <si>
    <t>Rodrigo Marcelino Nogueira</t>
  </si>
  <si>
    <t>Auxiliar Técnico de Fábrica III</t>
  </si>
  <si>
    <t>73066</t>
  </si>
  <si>
    <t>Juliano de Souza Almeida</t>
  </si>
  <si>
    <t>Gerente de Projetos III</t>
  </si>
  <si>
    <t>73069</t>
  </si>
  <si>
    <t>Edivanio Goncalves de Queiroz</t>
  </si>
  <si>
    <t>73071</t>
  </si>
  <si>
    <t>Marcos Antonio Rodrigues do Nascimento</t>
  </si>
  <si>
    <t>73073</t>
  </si>
  <si>
    <t>Walder Lucas de Freitas Moreira</t>
  </si>
  <si>
    <t>73079</t>
  </si>
  <si>
    <t>Davistton Junio Loiola Bastos</t>
  </si>
  <si>
    <t>73090</t>
  </si>
  <si>
    <t>Jaqueson Ferreira Cesar</t>
  </si>
  <si>
    <t>73093</t>
  </si>
  <si>
    <t>Mauro Lucio de Souza Camargos</t>
  </si>
  <si>
    <t>73098</t>
  </si>
  <si>
    <t>Valdilane de Almeida Nunes</t>
  </si>
  <si>
    <t>73099</t>
  </si>
  <si>
    <t>Vander Fernandes de Sousa</t>
  </si>
  <si>
    <t>73101</t>
  </si>
  <si>
    <t>Victor Daniel Fernandes Martins</t>
  </si>
  <si>
    <t>73102</t>
  </si>
  <si>
    <t>Vilmar Vieira da Silva</t>
  </si>
  <si>
    <t>73104</t>
  </si>
  <si>
    <t>Ademilson de Souza Lopes</t>
  </si>
  <si>
    <t>Lider de Montagem de Tubulação</t>
  </si>
  <si>
    <t>73105</t>
  </si>
  <si>
    <t>Adriano Tortato Reszka</t>
  </si>
  <si>
    <t>Téc. de Processos Eng. Ind. Caldeiraria II</t>
  </si>
  <si>
    <t>73106</t>
  </si>
  <si>
    <t>Alan Luiz Fernandes Carvalho</t>
  </si>
  <si>
    <t>Técnico de Processos de Caldeiraria I</t>
  </si>
  <si>
    <t>73112</t>
  </si>
  <si>
    <t>Denilson Geraldo</t>
  </si>
  <si>
    <t>73113</t>
  </si>
  <si>
    <t>Denio Ferreira Lage</t>
  </si>
  <si>
    <t>73116</t>
  </si>
  <si>
    <t>Eric Carlos Santos</t>
  </si>
  <si>
    <t>73117</t>
  </si>
  <si>
    <t>Felipe Wagner Cardoso de Faria</t>
  </si>
  <si>
    <t>Téc. de Processos de Montagem Mecânica II</t>
  </si>
  <si>
    <t>73118</t>
  </si>
  <si>
    <t>Henrique Leandro Carvalho Neves</t>
  </si>
  <si>
    <t>Montador de Equipamentos II</t>
  </si>
  <si>
    <t>73127</t>
  </si>
  <si>
    <t>Rafael de Araujo Baldaia</t>
  </si>
  <si>
    <t>73138</t>
  </si>
  <si>
    <t>Guilherme Henrique Diniz Barbosa</t>
  </si>
  <si>
    <t>73151</t>
  </si>
  <si>
    <t>Breno Henrique Martins Castro</t>
  </si>
  <si>
    <t>73153</t>
  </si>
  <si>
    <t>Daniel Nascimento dos Santos</t>
  </si>
  <si>
    <t>Técnico de Inspeção</t>
  </si>
  <si>
    <t>73154</t>
  </si>
  <si>
    <t>Elias da Silva</t>
  </si>
  <si>
    <t>73157</t>
  </si>
  <si>
    <t>Jonathas Henrique Pereira</t>
  </si>
  <si>
    <t>Gerente de Engenharia de Aplicação e Vendas</t>
  </si>
  <si>
    <t>73164</t>
  </si>
  <si>
    <t>Weslei Julio Pereira de Mendonca</t>
  </si>
  <si>
    <t>73169</t>
  </si>
  <si>
    <t>Maria Eduarda Silva Cardinalli</t>
  </si>
  <si>
    <t>Analista Financeiro I</t>
  </si>
  <si>
    <t>73172</t>
  </si>
  <si>
    <t>Camilla Paula Lopes de Lima</t>
  </si>
  <si>
    <t>Comprador II</t>
  </si>
  <si>
    <t>73175</t>
  </si>
  <si>
    <t>Laura Eduarda da Silva</t>
  </si>
  <si>
    <t>73176</t>
  </si>
  <si>
    <t>Alex Alves de Souza</t>
  </si>
  <si>
    <t>73177</t>
  </si>
  <si>
    <t>Angelo Maximo Dias Costa</t>
  </si>
  <si>
    <t>Técnico de Processos EMS II</t>
  </si>
  <si>
    <t>73178</t>
  </si>
  <si>
    <t>Fabricio Barbosa Caetano</t>
  </si>
  <si>
    <t>73179</t>
  </si>
  <si>
    <t>Giovanni Ribeiro Ferreira</t>
  </si>
  <si>
    <t>73185</t>
  </si>
  <si>
    <t>Alex Costa de Oliveira Silva</t>
  </si>
  <si>
    <t>73188</t>
  </si>
  <si>
    <t>Arthur Luiz Santos de Oliveira</t>
  </si>
  <si>
    <t>Técnico de Segurança do Trabalho I</t>
  </si>
  <si>
    <t>73189</t>
  </si>
  <si>
    <t>Breno Dias Mendes</t>
  </si>
  <si>
    <t>73192</t>
  </si>
  <si>
    <t>Feliphe Marques de Almeida</t>
  </si>
  <si>
    <t>Auxiliar de Almoxarifado III</t>
  </si>
  <si>
    <t>73193</t>
  </si>
  <si>
    <t>Gabriel Marques dos Santos</t>
  </si>
  <si>
    <t>73195</t>
  </si>
  <si>
    <t>Jean Magno da Silva</t>
  </si>
  <si>
    <t>73196</t>
  </si>
  <si>
    <t>Jeison Alexandre da Silva</t>
  </si>
  <si>
    <t>Coordenador Técnico de Orçamentos I</t>
  </si>
  <si>
    <t>73198</t>
  </si>
  <si>
    <t>Kessia Alves da Silva Leal</t>
  </si>
  <si>
    <t>Auxiliar Técnico de Solda II</t>
  </si>
  <si>
    <t>73199</t>
  </si>
  <si>
    <t>Leonardo Augusto Cruz Souza</t>
  </si>
  <si>
    <t>73203</t>
  </si>
  <si>
    <t>Sergio Andrade Rodrigues</t>
  </si>
  <si>
    <t>73204</t>
  </si>
  <si>
    <t>Thiago de Souza Martins</t>
  </si>
  <si>
    <t>Operador de Usinagem II</t>
  </si>
  <si>
    <t>73205</t>
  </si>
  <si>
    <t>Wanderson Silva Tameirao</t>
  </si>
  <si>
    <t>Líder de Montagem de Andaimes I</t>
  </si>
  <si>
    <t>73213</t>
  </si>
  <si>
    <t>Bruno Maciel Sousa</t>
  </si>
  <si>
    <t>Coordenador Técnico de P&amp;D I</t>
  </si>
  <si>
    <t>73214</t>
  </si>
  <si>
    <t>Carlos Eduardo Souza Araujo</t>
  </si>
  <si>
    <t>73216</t>
  </si>
  <si>
    <t>Joao Vitor Costa Vieira</t>
  </si>
  <si>
    <t>Auxiliar de Contratos II</t>
  </si>
  <si>
    <t>73219</t>
  </si>
  <si>
    <t>Eleonardo Costa dos Santos</t>
  </si>
  <si>
    <t>73220</t>
  </si>
  <si>
    <t>Ludmila Figueiredo Amancio</t>
  </si>
  <si>
    <t>73222</t>
  </si>
  <si>
    <t>Silas Soares da Silva</t>
  </si>
  <si>
    <t>73240</t>
  </si>
  <si>
    <t>Alexsandro Campos dos Santos</t>
  </si>
  <si>
    <t>73241</t>
  </si>
  <si>
    <t>Anderson de Oliveira Silva</t>
  </si>
  <si>
    <t>Operador de Ajustagem I</t>
  </si>
  <si>
    <t>73242</t>
  </si>
  <si>
    <t>Anderson Silva de Souza Maia</t>
  </si>
  <si>
    <t>Desenhista Projetista II</t>
  </si>
  <si>
    <t>73243</t>
  </si>
  <si>
    <t>Carlos Roberto da Anunciacao</t>
  </si>
  <si>
    <t>Pedreiro</t>
  </si>
  <si>
    <t>73248</t>
  </si>
  <si>
    <t>Joao Pedro Lopes Albano da Costa</t>
  </si>
  <si>
    <t>73249</t>
  </si>
  <si>
    <t>Joao Vitor Fernandes de Sa Mendes</t>
  </si>
  <si>
    <t>73252</t>
  </si>
  <si>
    <t>Mauricio Antonio dos Reis</t>
  </si>
  <si>
    <t>73253</t>
  </si>
  <si>
    <t>Ryan Silva Valentino</t>
  </si>
  <si>
    <t>73260</t>
  </si>
  <si>
    <t>Carlos Demar Rodrigues Andrade</t>
  </si>
  <si>
    <t>73273</t>
  </si>
  <si>
    <t>Lucas Muller Figueiredo</t>
  </si>
  <si>
    <t>73354</t>
  </si>
  <si>
    <t>Shayene Caroline Ferreira da Silva</t>
  </si>
  <si>
    <t>73355</t>
  </si>
  <si>
    <t>Thais Alves de Andrade</t>
  </si>
  <si>
    <t>Técnico de Enfermagem do Trabalho II</t>
  </si>
  <si>
    <t>73369</t>
  </si>
  <si>
    <t>Alessandro Lopes de Carvalho</t>
  </si>
  <si>
    <t>73373</t>
  </si>
  <si>
    <t>Hudson Augusto Pereira</t>
  </si>
  <si>
    <t>Téc. de Processos Eng. Ind. Caldeiraria I</t>
  </si>
  <si>
    <t>73374</t>
  </si>
  <si>
    <t>Joao Marcio Dias Costa</t>
  </si>
  <si>
    <t>Auxiliar Técnico de Fábrica II</t>
  </si>
  <si>
    <t>73376</t>
  </si>
  <si>
    <t>Johnathan Martins Tomaz</t>
  </si>
  <si>
    <t>73377</t>
  </si>
  <si>
    <t>Luis Filipe Souza Santos</t>
  </si>
  <si>
    <t>73378</t>
  </si>
  <si>
    <t>Rafael Siqueira</t>
  </si>
  <si>
    <t>Auxiliar de Almoxarifado II</t>
  </si>
  <si>
    <t>73381</t>
  </si>
  <si>
    <t>Victor Hugo Reis Nunes</t>
  </si>
  <si>
    <t>Auxiliar Técnico de PCP II</t>
  </si>
  <si>
    <t>73388</t>
  </si>
  <si>
    <t>Lucas Gabriel Ferreira Homem</t>
  </si>
  <si>
    <t>Técnico de Processo Documental I</t>
  </si>
  <si>
    <t>73390</t>
  </si>
  <si>
    <t>Mateus Caetano Rufino</t>
  </si>
  <si>
    <t>Analista Administrativo Comercial II</t>
  </si>
  <si>
    <t>73394</t>
  </si>
  <si>
    <t>Sergio Ricardo dos Santos</t>
  </si>
  <si>
    <t>Instrutor Técnico de Caldeiraria II</t>
  </si>
  <si>
    <t>Centro Tecnologico de Soldagem – CTS</t>
  </si>
  <si>
    <t>73398</t>
  </si>
  <si>
    <t>Hugo Alves de Carvalho Rocha</t>
  </si>
  <si>
    <t>73416</t>
  </si>
  <si>
    <t>Frederico Rodrigues dos Santos</t>
  </si>
  <si>
    <t>Operador de Montagem II</t>
  </si>
  <si>
    <t>73423</t>
  </si>
  <si>
    <t>Alex Silva Simoes Junior</t>
  </si>
  <si>
    <t>73424</t>
  </si>
  <si>
    <t>Allef Junior Andrade Goncalves</t>
  </si>
  <si>
    <t>73426</t>
  </si>
  <si>
    <t>Daniel dos Santos Paula</t>
  </si>
  <si>
    <t>73428</t>
  </si>
  <si>
    <t>Filipe Lassen Goncalves Reis</t>
  </si>
  <si>
    <t>Auxiliar Técnico de EMS II</t>
  </si>
  <si>
    <t>73430</t>
  </si>
  <si>
    <t>Gleiverson dos Santos Fernandes</t>
  </si>
  <si>
    <t>73432</t>
  </si>
  <si>
    <t>Isadora Cruz</t>
  </si>
  <si>
    <t>Auxiliar Téc. de Eng. Ind. de Caldeiraria III</t>
  </si>
  <si>
    <t>73436</t>
  </si>
  <si>
    <t>Felipe Teodoro Viana</t>
  </si>
  <si>
    <t>73437</t>
  </si>
  <si>
    <t>Wanderson Torres Campos</t>
  </si>
  <si>
    <t>73446</t>
  </si>
  <si>
    <t>Gleisson Abreu Alves</t>
  </si>
  <si>
    <t>73449</t>
  </si>
  <si>
    <t>Juedir Honorio de Barros Junior</t>
  </si>
  <si>
    <t>73450</t>
  </si>
  <si>
    <t>Lucas de Franca Cerqueira</t>
  </si>
  <si>
    <t>Assistente Técnico de Analise de Dados II</t>
  </si>
  <si>
    <t>73451</t>
  </si>
  <si>
    <t>Marco Aurelio Rezende</t>
  </si>
  <si>
    <t>73452</t>
  </si>
  <si>
    <t>Nerivaldo Leonardo Pereira</t>
  </si>
  <si>
    <t>73453</t>
  </si>
  <si>
    <t>Ramon Fernandes de Oliveira</t>
  </si>
  <si>
    <t>73457</t>
  </si>
  <si>
    <t>Vanderley Jose de Carvalho</t>
  </si>
  <si>
    <t>73464</t>
  </si>
  <si>
    <t>Farrid Oliveira Magalhaes</t>
  </si>
  <si>
    <t>73467</t>
  </si>
  <si>
    <t>Juliano Bernardo de Paula</t>
  </si>
  <si>
    <t>Desempenador II</t>
  </si>
  <si>
    <t>73470</t>
  </si>
  <si>
    <t>Taiane Teodoro Santos da Cruz</t>
  </si>
  <si>
    <t>Analista de P&amp;D II</t>
  </si>
  <si>
    <t>73480</t>
  </si>
  <si>
    <t>Wilson Aparecido Ambrosio Ferreira</t>
  </si>
  <si>
    <t>73482</t>
  </si>
  <si>
    <t>Alexandre Raimundo de Alcantara</t>
  </si>
  <si>
    <t>73483</t>
  </si>
  <si>
    <t>Gustavo Fernandes Duarte Prates</t>
  </si>
  <si>
    <t>73485</t>
  </si>
  <si>
    <t>Luciano Dias do Carmo</t>
  </si>
  <si>
    <t>73487</t>
  </si>
  <si>
    <t>Tiago Correa da Rocha</t>
  </si>
  <si>
    <t>73489</t>
  </si>
  <si>
    <t>Alessandra Rosaria Ribeiro Oliveira</t>
  </si>
  <si>
    <t>Analista de SGQ II</t>
  </si>
  <si>
    <t>73490</t>
  </si>
  <si>
    <t>Carla Rejane Monteiro</t>
  </si>
  <si>
    <t>73495</t>
  </si>
  <si>
    <t>Heberth Campos Candeia</t>
  </si>
  <si>
    <t>73500</t>
  </si>
  <si>
    <t>Pedro Henrique Souza Rodrigues</t>
  </si>
  <si>
    <t>73502</t>
  </si>
  <si>
    <t>Vitor Pereira Souza Silva</t>
  </si>
  <si>
    <t>73503</t>
  </si>
  <si>
    <t>Clerio Coelho Arede</t>
  </si>
  <si>
    <t>73513</t>
  </si>
  <si>
    <t>Jaeder Claudio Freire Filho</t>
  </si>
  <si>
    <t>73518</t>
  </si>
  <si>
    <t>Douglas Souza Barros</t>
  </si>
  <si>
    <t>73519</t>
  </si>
  <si>
    <t>Eduardo Gomes Chelles</t>
  </si>
  <si>
    <t>73520</t>
  </si>
  <si>
    <t>Enio Fantinati do Espirito Santo</t>
  </si>
  <si>
    <t>73521</t>
  </si>
  <si>
    <t>Fagner Antonio Aguiar</t>
  </si>
  <si>
    <t>73522</t>
  </si>
  <si>
    <t>Gabriel Junio Figueiredo</t>
  </si>
  <si>
    <t>73524</t>
  </si>
  <si>
    <t>Joao Victor Ferreira Guimaraes</t>
  </si>
  <si>
    <t>73527</t>
  </si>
  <si>
    <t>Juan de Souza Vieira</t>
  </si>
  <si>
    <t>73528</t>
  </si>
  <si>
    <t>Naiane Lopes Ferreira</t>
  </si>
  <si>
    <t>73529</t>
  </si>
  <si>
    <t>Pedro Henrique Antonio</t>
  </si>
  <si>
    <t>73530</t>
  </si>
  <si>
    <t>Roberto Fontanetto</t>
  </si>
  <si>
    <t>73532</t>
  </si>
  <si>
    <t>Tulio Luciano Coelho</t>
  </si>
  <si>
    <t>73533</t>
  </si>
  <si>
    <t>Warles Ferreira de Paula</t>
  </si>
  <si>
    <t>73543</t>
  </si>
  <si>
    <t>Diego Henrique Ferreira</t>
  </si>
  <si>
    <t>73544</t>
  </si>
  <si>
    <t>Eder Borges Pereira</t>
  </si>
  <si>
    <t>Assistente de Infraestrutura I</t>
  </si>
  <si>
    <t>73549</t>
  </si>
  <si>
    <t>Joel Alves da Silva</t>
  </si>
  <si>
    <t>73555</t>
  </si>
  <si>
    <t>Giovanne Silva Barbosa</t>
  </si>
  <si>
    <t>73557</t>
  </si>
  <si>
    <t>Hilquias Lucas Reis Araujo</t>
  </si>
  <si>
    <t>73559</t>
  </si>
  <si>
    <t>Kleber Silva de Amorim</t>
  </si>
  <si>
    <t>Montador de Andaime II</t>
  </si>
  <si>
    <t>73561</t>
  </si>
  <si>
    <t>Matheus Filipe Barbosa dos Santos</t>
  </si>
  <si>
    <t>73566</t>
  </si>
  <si>
    <t>Elbert Vieira de Carvalho</t>
  </si>
  <si>
    <t>Porto do Açu - Filial</t>
  </si>
  <si>
    <t>73567</t>
  </si>
  <si>
    <t>Marcelly Aparecida Barbosa Machado</t>
  </si>
  <si>
    <t>Assistente Administrativo Financeiro l</t>
  </si>
  <si>
    <t>73577</t>
  </si>
  <si>
    <t>Gabriel Moreira Barbosa</t>
  </si>
  <si>
    <t>Auxiliar Técnico de Manutenção II</t>
  </si>
  <si>
    <t>73579</t>
  </si>
  <si>
    <t>Jose Eduardo Santos de Moraes</t>
  </si>
  <si>
    <t>73580</t>
  </si>
  <si>
    <t>Rafaela Pereira de Araujo</t>
  </si>
  <si>
    <t>Especialista Tributário</t>
  </si>
  <si>
    <t>73582</t>
  </si>
  <si>
    <t>Alexia Gabrielle de Souza Reis</t>
  </si>
  <si>
    <t>Analista de T&amp;D II</t>
  </si>
  <si>
    <t>73591</t>
  </si>
  <si>
    <t>Rosilaine Assuncao de Oliveira</t>
  </si>
  <si>
    <t>Auxiliar Administrativo Financeiro III</t>
  </si>
  <si>
    <t>73594</t>
  </si>
  <si>
    <t>Valdinei Ferreira de Oliveira</t>
  </si>
  <si>
    <t>Montador de Andaime I</t>
  </si>
  <si>
    <t>73595</t>
  </si>
  <si>
    <t>Warley de Oliveira Sales</t>
  </si>
  <si>
    <t>Operador de Soldagem I</t>
  </si>
  <si>
    <t>73600</t>
  </si>
  <si>
    <t>Kenia Vanessa de Sousa</t>
  </si>
  <si>
    <t>73602</t>
  </si>
  <si>
    <t>Laura Danieli Pedro</t>
  </si>
  <si>
    <t>Documentation Control Center – DCC</t>
  </si>
  <si>
    <t>73603</t>
  </si>
  <si>
    <t>Romario Carmo de Paiva Natal</t>
  </si>
  <si>
    <t>Inspetor de Pintura Qualificado II</t>
  </si>
  <si>
    <t>73610</t>
  </si>
  <si>
    <t>Agostinho Sandro do Patrocinio</t>
  </si>
  <si>
    <t>73611</t>
  </si>
  <si>
    <t>Camila de Paula Queiros Silva</t>
  </si>
  <si>
    <t>Analista de Departamento Pessoal I</t>
  </si>
  <si>
    <t>73613</t>
  </si>
  <si>
    <t>Edson Alves de Matos</t>
  </si>
  <si>
    <t>73617</t>
  </si>
  <si>
    <t>Matheus de Abreu Viana</t>
  </si>
  <si>
    <t>Auxiliar Técnico de Manutenção Elétrica II</t>
  </si>
  <si>
    <t>73621</t>
  </si>
  <si>
    <t>Iorran Gulliver Batista Alves</t>
  </si>
  <si>
    <t>73622</t>
  </si>
  <si>
    <t>Jean Junior de Souza Moreira</t>
  </si>
  <si>
    <t>73624</t>
  </si>
  <si>
    <t>Vinicius Martins Santos</t>
  </si>
  <si>
    <t>Assistente de Infraestrutura III</t>
  </si>
  <si>
    <t>73626</t>
  </si>
  <si>
    <t>Breno Henrique Bibiano de Miranda</t>
  </si>
  <si>
    <t>Auxiliar Técnico EMS II</t>
  </si>
  <si>
    <t>73627</t>
  </si>
  <si>
    <t>Christian Felipe Paulista dos Reis</t>
  </si>
  <si>
    <t>Operador de Forno I</t>
  </si>
  <si>
    <t>73628</t>
  </si>
  <si>
    <t>Estefany Caroline dos Santos Vieira</t>
  </si>
  <si>
    <t>73629</t>
  </si>
  <si>
    <t>Islan Samuel Viana Fagundes</t>
  </si>
  <si>
    <t>Auxiliar Técnico de CQ Documental II</t>
  </si>
  <si>
    <t>73630</t>
  </si>
  <si>
    <t>Lucas Vinicius Silva Almeida</t>
  </si>
  <si>
    <t>73632</t>
  </si>
  <si>
    <t>Matheus Junior Pereira</t>
  </si>
  <si>
    <t>Operador de Montagem I</t>
  </si>
  <si>
    <t>73634</t>
  </si>
  <si>
    <t>Weberty Roberto Barbosa Silva</t>
  </si>
  <si>
    <t>73655</t>
  </si>
  <si>
    <t>Dayane Nayara Reginaldo da Rocha</t>
  </si>
  <si>
    <t>Supervisor (a) de Almoxarifado I</t>
  </si>
  <si>
    <t>73657</t>
  </si>
  <si>
    <t>Edmundo Parreiras Alonso</t>
  </si>
  <si>
    <t>73658</t>
  </si>
  <si>
    <t>Emerson Rodrigues Paulo</t>
  </si>
  <si>
    <t>73659</t>
  </si>
  <si>
    <t>Guilherme Henrique Inacio Ribeiro</t>
  </si>
  <si>
    <t>73661</t>
  </si>
  <si>
    <t>Jamily Thais Gregorio</t>
  </si>
  <si>
    <t>Auxiliar Fiscal II</t>
  </si>
  <si>
    <t>73662</t>
  </si>
  <si>
    <t>Jose Emilio Bernardo</t>
  </si>
  <si>
    <t>73664</t>
  </si>
  <si>
    <t>Pedro Henrique Souza Lopes</t>
  </si>
  <si>
    <t>Assistente de Contratos II</t>
  </si>
  <si>
    <t>73665</t>
  </si>
  <si>
    <t>Rafael Bernardo Madureira da Silva</t>
  </si>
  <si>
    <t>73666</t>
  </si>
  <si>
    <t>Raphael da Costa Esteves</t>
  </si>
  <si>
    <t>73674</t>
  </si>
  <si>
    <t>Giovanna Lyssa Nascimento Moreira</t>
  </si>
  <si>
    <t>Técnico de Processos de Engenharia I</t>
  </si>
  <si>
    <t>73675</t>
  </si>
  <si>
    <t>Kelvin Gabriel Pinheiro Fortunato</t>
  </si>
  <si>
    <t>Analista de Projetos I</t>
  </si>
  <si>
    <t>73676</t>
  </si>
  <si>
    <t>Luiz Gustavo Albuquerque de Castro</t>
  </si>
  <si>
    <t>73680</t>
  </si>
  <si>
    <t>Jeonatas Tadeu de Alencar Ferreira</t>
  </si>
  <si>
    <t>73683</t>
  </si>
  <si>
    <t>Wellington Ferreira da Silva</t>
  </si>
  <si>
    <t>Supervisor de Logística</t>
  </si>
  <si>
    <t>73685</t>
  </si>
  <si>
    <t>Entony kayky Pereira Rabelo</t>
  </si>
  <si>
    <t>73686</t>
  </si>
  <si>
    <t>Joao Pedro dos Reis</t>
  </si>
  <si>
    <t>73689</t>
  </si>
  <si>
    <t>Julio Henrique Rodrigues Nogueira</t>
  </si>
  <si>
    <t>73691</t>
  </si>
  <si>
    <t>Paulo Henrique Teixeira de Souza</t>
  </si>
  <si>
    <t>73692</t>
  </si>
  <si>
    <t>Reggis Marconi Ferreira Lima da Costa Torres</t>
  </si>
  <si>
    <t>Motorista de Carreta</t>
  </si>
  <si>
    <t>73696</t>
  </si>
  <si>
    <t>Polyana de Paula Oliveira Arenazio</t>
  </si>
  <si>
    <t>73698</t>
  </si>
  <si>
    <t>Gesriel Jackson de Abreu Miranda</t>
  </si>
  <si>
    <t>73699</t>
  </si>
  <si>
    <t>Juan Felipe Pereira Brandao</t>
  </si>
  <si>
    <t>73700</t>
  </si>
  <si>
    <t>Matheus Goncalves de Oliveira Pereira da Conceicao</t>
  </si>
  <si>
    <t>73702</t>
  </si>
  <si>
    <t>Diego Goncalves Martins</t>
  </si>
  <si>
    <t>73705</t>
  </si>
  <si>
    <t>Marcelo Willian Arruda</t>
  </si>
  <si>
    <t>73706</t>
  </si>
  <si>
    <t>Otoniel Fernandes Moreira</t>
  </si>
  <si>
    <t>Auxiliar de Facilities II</t>
  </si>
  <si>
    <t>73708</t>
  </si>
  <si>
    <t>Fabio Campolina</t>
  </si>
  <si>
    <t>73710</t>
  </si>
  <si>
    <t>Marcio Eloisio da Cruz</t>
  </si>
  <si>
    <t>Pintor de Manutencao</t>
  </si>
  <si>
    <t>73711</t>
  </si>
  <si>
    <t>Sergio Adriano Pacheco</t>
  </si>
  <si>
    <t>73713</t>
  </si>
  <si>
    <t>Atos Meriton de Oliveira Braga</t>
  </si>
  <si>
    <t>73715</t>
  </si>
  <si>
    <t>Carlos Luiz Goncalves de Oliveira Filho</t>
  </si>
  <si>
    <t>73719</t>
  </si>
  <si>
    <t>Guilherme Figueiredo Evangelista</t>
  </si>
  <si>
    <t>73721</t>
  </si>
  <si>
    <t>Icaro Lucas Santos Teixeira</t>
  </si>
  <si>
    <t>73724</t>
  </si>
  <si>
    <t>Marcone Duarte</t>
  </si>
  <si>
    <t>73728</t>
  </si>
  <si>
    <t>Renato Martins Alvim</t>
  </si>
  <si>
    <t>73730</t>
  </si>
  <si>
    <t>Tiago Fagundes de Assis</t>
  </si>
  <si>
    <t>73734</t>
  </si>
  <si>
    <t>Alessandre Felipe de Miranda</t>
  </si>
  <si>
    <t>Supervisor Geral de Serviços de Campo</t>
  </si>
  <si>
    <t>73735</t>
  </si>
  <si>
    <t>Anna Paula Alonso do Carmo Paixao</t>
  </si>
  <si>
    <t>73736</t>
  </si>
  <si>
    <t>Areston Joaquim dos Santos</t>
  </si>
  <si>
    <t>73739</t>
  </si>
  <si>
    <t>Cleison Candido Vieira</t>
  </si>
  <si>
    <t>73743</t>
  </si>
  <si>
    <t>Elaine Cristina Souza Cruz</t>
  </si>
  <si>
    <t>73745</t>
  </si>
  <si>
    <t>Johnathas Martins Santana</t>
  </si>
  <si>
    <t>73747</t>
  </si>
  <si>
    <t>Julio Cesar Campos de Andrade</t>
  </si>
  <si>
    <t>73750</t>
  </si>
  <si>
    <t>Wallace Souza Santos</t>
  </si>
  <si>
    <t>73751</t>
  </si>
  <si>
    <t>Marcos Antonio Freire Santos</t>
  </si>
  <si>
    <t>73754</t>
  </si>
  <si>
    <t>Vanderley Batista dos Santos</t>
  </si>
  <si>
    <t>73756</t>
  </si>
  <si>
    <t>Anderson Gomes Goncalves</t>
  </si>
  <si>
    <t>73760</t>
  </si>
  <si>
    <t>Carina Luziaria do Carmo Franco</t>
  </si>
  <si>
    <t>73762</t>
  </si>
  <si>
    <t>David Tadeu Carvalho Amaral</t>
  </si>
  <si>
    <t>73763</t>
  </si>
  <si>
    <t>Diego Cesar Alves da Silva</t>
  </si>
  <si>
    <t>73768</t>
  </si>
  <si>
    <t>Erick Vinicius Gomides</t>
  </si>
  <si>
    <t>73769</t>
  </si>
  <si>
    <t>Estevao Goncalves do Santo</t>
  </si>
  <si>
    <t>73771</t>
  </si>
  <si>
    <t>Guilherme Alexandre Lima Cardoso</t>
  </si>
  <si>
    <t>Auxiliar Técnico de Informática I</t>
  </si>
  <si>
    <t>73773</t>
  </si>
  <si>
    <t>Isabella Melo Oliveira</t>
  </si>
  <si>
    <t>Analista de Comunicação III</t>
  </si>
  <si>
    <t>Marketing</t>
  </si>
  <si>
    <t>73775</t>
  </si>
  <si>
    <t>Joel Alves da Cruz</t>
  </si>
  <si>
    <t>73776</t>
  </si>
  <si>
    <t>Laender Pereira Drumond Filho</t>
  </si>
  <si>
    <t>73781</t>
  </si>
  <si>
    <t>Maria Clara Soares Costa</t>
  </si>
  <si>
    <t>73783</t>
  </si>
  <si>
    <t>Paulo Sergio Arcanjo</t>
  </si>
  <si>
    <t>73784</t>
  </si>
  <si>
    <t>Samuel Henrique Pereira da Silva</t>
  </si>
  <si>
    <t>73786</t>
  </si>
  <si>
    <t>Tiago Aurelio Alves de Freitas</t>
  </si>
  <si>
    <t>73787</t>
  </si>
  <si>
    <t>Timoteo de Almeida Batalha</t>
  </si>
  <si>
    <t>73804</t>
  </si>
  <si>
    <t>Joao Lucas Monteiro Sampaio Silva</t>
  </si>
  <si>
    <t>Assistente de Projetos II</t>
  </si>
  <si>
    <t>73819</t>
  </si>
  <si>
    <t>Carolina Nunes Tavares</t>
  </si>
  <si>
    <t>73820</t>
  </si>
  <si>
    <t>Edilane Rita de Oliveira</t>
  </si>
  <si>
    <t>Gerente Executivo Gente e Gestão</t>
  </si>
  <si>
    <t>73821</t>
  </si>
  <si>
    <t>Luana Botaro de Almeida</t>
  </si>
  <si>
    <t>Auxiliar de Compras II</t>
  </si>
  <si>
    <t>73824</t>
  </si>
  <si>
    <t>Yasmin Kamilly Martins Rodrigues Figueiredo Alves</t>
  </si>
  <si>
    <t>Auxiliar de T&amp;D II</t>
  </si>
  <si>
    <t>73849</t>
  </si>
  <si>
    <t>Jhonatas da Silva Amorim</t>
  </si>
  <si>
    <t>Eletricista de FAT I</t>
  </si>
  <si>
    <t>73883</t>
  </si>
  <si>
    <t>Carlos Giovani Fernandes</t>
  </si>
  <si>
    <t>Analista Jurídico II</t>
  </si>
  <si>
    <t>73884</t>
  </si>
  <si>
    <t>Pedro Henrique Ferreira de Souza</t>
  </si>
  <si>
    <t>73885</t>
  </si>
  <si>
    <t>Cintia Karen Souza Alves</t>
  </si>
  <si>
    <t>Analista de Recursos Humanos I</t>
  </si>
  <si>
    <t>73888</t>
  </si>
  <si>
    <t>Felipe Pereira Madalena</t>
  </si>
  <si>
    <t>Coordenador Técnico de Instalação II</t>
  </si>
  <si>
    <t>73892</t>
  </si>
  <si>
    <t>Sergio Rezende Garcia</t>
  </si>
  <si>
    <t>73895</t>
  </si>
  <si>
    <t>Jorgiane dos Santos Costa</t>
  </si>
  <si>
    <t>73900</t>
  </si>
  <si>
    <t>Walisson Cassimiro Santiago</t>
  </si>
  <si>
    <t>73903</t>
  </si>
  <si>
    <t>Henrique Resende Emiliano</t>
  </si>
  <si>
    <t>Analista de Dados Excelencia Operacional II</t>
  </si>
  <si>
    <t>73904</t>
  </si>
  <si>
    <t>Iara Bitencourt Teixeira</t>
  </si>
  <si>
    <t>Coordenador(a) Técnico de Excelência Operacional</t>
  </si>
  <si>
    <t>73905</t>
  </si>
  <si>
    <t>Luiza Elena Braga Marinho</t>
  </si>
  <si>
    <t>Assistente de Gente e Gestão III</t>
  </si>
  <si>
    <t>73906</t>
  </si>
  <si>
    <t>Aguimar Leal Cardoso</t>
  </si>
  <si>
    <t>73914</t>
  </si>
  <si>
    <t>Eduardo Alves de Oliveira</t>
  </si>
  <si>
    <t>Inspetor de END III</t>
  </si>
  <si>
    <t>73915</t>
  </si>
  <si>
    <t>Hamilton Tadim</t>
  </si>
  <si>
    <t>73919</t>
  </si>
  <si>
    <t>Jhonany de Kassia Pereira</t>
  </si>
  <si>
    <t>73921</t>
  </si>
  <si>
    <t>Murillo Nery Barreto</t>
  </si>
  <si>
    <t>Auxiliar de Almoxarifado I</t>
  </si>
  <si>
    <t>73923</t>
  </si>
  <si>
    <t>Sergio Acilio Dias Bento</t>
  </si>
  <si>
    <t>73926</t>
  </si>
  <si>
    <t>Barbara Moreno Pagotto Arêdes</t>
  </si>
  <si>
    <t>Analista de Excelência Operacional III</t>
  </si>
  <si>
    <t>73928</t>
  </si>
  <si>
    <t>Eduardo Magela Cunha</t>
  </si>
  <si>
    <t>73931</t>
  </si>
  <si>
    <t>Luis Fernando da Rocha Alves</t>
  </si>
  <si>
    <t>73932</t>
  </si>
  <si>
    <t>Maria Eduarda de Souza Rodrigues</t>
  </si>
  <si>
    <t>Auxiliar Técnico de GP III</t>
  </si>
  <si>
    <t>73937</t>
  </si>
  <si>
    <t>Alessandro Machado Cornelio</t>
  </si>
  <si>
    <t>73938</t>
  </si>
  <si>
    <t>Cleidson Queres Caixeta</t>
  </si>
  <si>
    <t>Assistente de Planejamento III</t>
  </si>
  <si>
    <t>73941</t>
  </si>
  <si>
    <t>Iolanda Gorete de Souza</t>
  </si>
  <si>
    <t>73942</t>
  </si>
  <si>
    <t>Juliana Franca Falconiere</t>
  </si>
  <si>
    <t>Secretária Executiva</t>
  </si>
  <si>
    <t>73943</t>
  </si>
  <si>
    <t>Marlon William Muniz Tavares</t>
  </si>
  <si>
    <t>Analista de SGQ I</t>
  </si>
  <si>
    <t>73946</t>
  </si>
  <si>
    <t>Andre Barbosa de Souza</t>
  </si>
  <si>
    <t>73949</t>
  </si>
  <si>
    <t>Leticia de Jesus Reginaldo</t>
  </si>
  <si>
    <t>73950</t>
  </si>
  <si>
    <t>Leticia de Paula Barros</t>
  </si>
  <si>
    <t>Técnico de Meio Ambiente I</t>
  </si>
  <si>
    <t>73951</t>
  </si>
  <si>
    <t>Paulo Sergio Marques dos Santos</t>
  </si>
  <si>
    <t>73952</t>
  </si>
  <si>
    <t>Pedro Guilherme Marazzi Souza</t>
  </si>
  <si>
    <t>73954</t>
  </si>
  <si>
    <t>Pedro Henrique Nunes de Araujo</t>
  </si>
  <si>
    <t>Auxiliar Técnico de Manutenção Elétrica I</t>
  </si>
  <si>
    <t>73955</t>
  </si>
  <si>
    <t>Samuel Izidorio Ferreira</t>
  </si>
  <si>
    <t>73956</t>
  </si>
  <si>
    <t>Tayssa Rodrigues de Araujo</t>
  </si>
  <si>
    <t>Auxiliar Técnico de Planejamento de Manutenção II</t>
  </si>
  <si>
    <t>73957</t>
  </si>
  <si>
    <t>Wellington Thiago Giz da Silva</t>
  </si>
  <si>
    <t>Pintor Jatista de Manutenção</t>
  </si>
  <si>
    <t>73958</t>
  </si>
  <si>
    <t>Welton Teixeira de Sousa</t>
  </si>
  <si>
    <t>73959</t>
  </si>
  <si>
    <t>Wilson Marcelino Paulo</t>
  </si>
  <si>
    <t>73973</t>
  </si>
  <si>
    <t>Erica Crystina Santana Santos</t>
  </si>
  <si>
    <t>73974</t>
  </si>
  <si>
    <t>Larissa Alessandra Costa de Souza</t>
  </si>
  <si>
    <t>73977</t>
  </si>
  <si>
    <t>Ruan Bernardo de Souza Campos</t>
  </si>
  <si>
    <t>Auxiliar Técnico Segurança Trabalho II</t>
  </si>
  <si>
    <t>73978</t>
  </si>
  <si>
    <t>Guilherme Henrique dos Santos Silva</t>
  </si>
  <si>
    <t>Coordenador(a) Técnico de Projetos II</t>
  </si>
  <si>
    <t>73980</t>
  </si>
  <si>
    <t>Jose Daniel Rodrigues Luz</t>
  </si>
  <si>
    <t>73981</t>
  </si>
  <si>
    <t>Maksimilian Rocha Turci Reis</t>
  </si>
  <si>
    <t>73984</t>
  </si>
  <si>
    <t>Ana Vitoria Goncalves Souza</t>
  </si>
  <si>
    <t>Auxiliar Administrativo de SGQ II</t>
  </si>
  <si>
    <t>73985</t>
  </si>
  <si>
    <t>Bruno dos Santos Almeida</t>
  </si>
  <si>
    <t>73987</t>
  </si>
  <si>
    <t>Emanuelle Eduarda Felipe Pereira</t>
  </si>
  <si>
    <t>73988</t>
  </si>
  <si>
    <t>Fabricio Pereira Martins</t>
  </si>
  <si>
    <t>73990</t>
  </si>
  <si>
    <t>Lais Felisberto Mendes</t>
  </si>
  <si>
    <t>Auxiliar de Facilities I</t>
  </si>
  <si>
    <t>73995</t>
  </si>
  <si>
    <t>Ronaldo Sousa Valadares</t>
  </si>
  <si>
    <t>73998</t>
  </si>
  <si>
    <t>Arlesson Santos Castro Junior</t>
  </si>
  <si>
    <t>73999</t>
  </si>
  <si>
    <t>Caio Felipe de Freitas Fiori</t>
  </si>
  <si>
    <t>74000</t>
  </si>
  <si>
    <t>Joao Paulo Moreira Rocha</t>
  </si>
  <si>
    <t>74001</t>
  </si>
  <si>
    <t>Leandro Henrique Alves dos Santos</t>
  </si>
  <si>
    <t>74002</t>
  </si>
  <si>
    <t>Luiz Fernando Gomes Ferreira</t>
  </si>
  <si>
    <t>74003</t>
  </si>
  <si>
    <t>Pedro Henrique Dameao</t>
  </si>
  <si>
    <t>74006</t>
  </si>
  <si>
    <t>Ruan Junio dos Santos Gonçalves</t>
  </si>
  <si>
    <t>74007</t>
  </si>
  <si>
    <t>Sabrina Goncalves dos Santos</t>
  </si>
  <si>
    <t>74008</t>
  </si>
  <si>
    <t>Thiago Paulino Marques</t>
  </si>
  <si>
    <t>74010</t>
  </si>
  <si>
    <t>Ikley Guilherme De Assis Santos</t>
  </si>
  <si>
    <t>74011</t>
  </si>
  <si>
    <t>Joao Victor Pio Custodio</t>
  </si>
  <si>
    <t>74013</t>
  </si>
  <si>
    <t>Dhuann Paiva Antunes Fiori Bakr</t>
  </si>
  <si>
    <t>Engenheiro Geotecnico</t>
  </si>
  <si>
    <t>74014</t>
  </si>
  <si>
    <t>Maria Julia Aparecida Freitas Ramos</t>
  </si>
  <si>
    <t>Auxiliar Técnico de Excelência Operacional I</t>
  </si>
  <si>
    <t>74016</t>
  </si>
  <si>
    <t>Iala Gabriela Miranda Costa</t>
  </si>
  <si>
    <t>Auxiliar de Departamento Pessoal III</t>
  </si>
  <si>
    <t>74017</t>
  </si>
  <si>
    <t>Iuri Araujo Ferreira</t>
  </si>
  <si>
    <t>74034</t>
  </si>
  <si>
    <t>Cinthia Aparecida de Souza</t>
  </si>
  <si>
    <t>74036</t>
  </si>
  <si>
    <t>Israel Ribeiro Rodrigues</t>
  </si>
  <si>
    <t>Auxiliar de Suporte em Sistemas I</t>
  </si>
  <si>
    <t>74037</t>
  </si>
  <si>
    <t>Lucas Alves Cruz</t>
  </si>
  <si>
    <t>Comprador Internacional II</t>
  </si>
  <si>
    <t>74038</t>
  </si>
  <si>
    <t>Maria Helena Barbosa Cassiano</t>
  </si>
  <si>
    <t>Auxiliar Técnico Segurança Trabalho I</t>
  </si>
  <si>
    <t>74040</t>
  </si>
  <si>
    <t>Daniel Delveaux Campos</t>
  </si>
  <si>
    <t>74042</t>
  </si>
  <si>
    <t>Jackson Libanio da Silva Melo</t>
  </si>
  <si>
    <t>74043</t>
  </si>
  <si>
    <t>Jose Carlos Passos</t>
  </si>
  <si>
    <t>74044</t>
  </si>
  <si>
    <t>Matheus Alexandre Costa Pinhati</t>
  </si>
  <si>
    <t>Auxiliar Téc. de Eng. Ind. de Caldeiraria I</t>
  </si>
  <si>
    <t>74045</t>
  </si>
  <si>
    <t>Antonio Victor de Oliveira Furtado</t>
  </si>
  <si>
    <t>Auxiliar Técnico de EMS I</t>
  </si>
  <si>
    <t>74046</t>
  </si>
  <si>
    <t>Adilson Moreira Nunes</t>
  </si>
  <si>
    <t>74047</t>
  </si>
  <si>
    <t>Isabella Martins Ribeiro Nogueira Mol</t>
  </si>
  <si>
    <t>74049</t>
  </si>
  <si>
    <t>Lucas Rodrigues Martins</t>
  </si>
  <si>
    <t>Auxiliar Tecnico de dados de CQ Documental II</t>
  </si>
  <si>
    <t>74050</t>
  </si>
  <si>
    <t>Welinton de Freitas Trindade</t>
  </si>
  <si>
    <t>Técnico Lubrificador I</t>
  </si>
  <si>
    <t>74053</t>
  </si>
  <si>
    <t>Luiza Gabrielly Silva Martins</t>
  </si>
  <si>
    <t>Auxiliar Técnico de Fábrica I</t>
  </si>
  <si>
    <t>74054</t>
  </si>
  <si>
    <t>Alexsander Teixeira dos Santos</t>
  </si>
  <si>
    <t>74055</t>
  </si>
  <si>
    <t>Eduarda de Almeida Campras</t>
  </si>
  <si>
    <t>Auxiliar Técnico de CQ Documental I</t>
  </si>
  <si>
    <t>74058</t>
  </si>
  <si>
    <t>Rafael Pereira Costa</t>
  </si>
  <si>
    <t>Estagiário</t>
  </si>
  <si>
    <t>74063</t>
  </si>
  <si>
    <t>Juliana Santos Faria</t>
  </si>
  <si>
    <t>Analista Fiscal I</t>
  </si>
  <si>
    <t>74064</t>
  </si>
  <si>
    <t>Marco Tulio Santos Lopes</t>
  </si>
  <si>
    <t>74065</t>
  </si>
  <si>
    <t>Diego Bambirra Goncalves</t>
  </si>
  <si>
    <t>Coordenador Tributário I</t>
  </si>
  <si>
    <t>74066</t>
  </si>
  <si>
    <t>Renato Antonio dos Santos Junior</t>
  </si>
  <si>
    <t>Supervisor Administrativo de Serviços de Campo</t>
  </si>
  <si>
    <t>74070</t>
  </si>
  <si>
    <t>Keila Daniele Souza Ferreira</t>
  </si>
  <si>
    <t>Coordenador(a) de SGQ e Excelência Operacional</t>
  </si>
  <si>
    <t>74071</t>
  </si>
  <si>
    <t>Lucas Danilo Rocha Martins</t>
  </si>
  <si>
    <t>74073</t>
  </si>
  <si>
    <t>Lucas Rodrigo de Oliveira</t>
  </si>
  <si>
    <t>74074</t>
  </si>
  <si>
    <t>Cristiano Oliveira dos Santos Junior</t>
  </si>
  <si>
    <t>74075</t>
  </si>
  <si>
    <t>Melissa de Matos Freitas</t>
  </si>
  <si>
    <t>74076</t>
  </si>
  <si>
    <t>Renan Victor Melo Pereira</t>
  </si>
  <si>
    <t>74077</t>
  </si>
  <si>
    <t>Joao Pedro Aguiar Alves</t>
  </si>
  <si>
    <t>74078</t>
  </si>
  <si>
    <t>Sarah Leonel dos Santos Silva</t>
  </si>
  <si>
    <t>74079</t>
  </si>
  <si>
    <t>Tiago Vieira da Costa</t>
  </si>
  <si>
    <t>74080</t>
  </si>
  <si>
    <t>Kauan Artur Santana Bastos</t>
  </si>
  <si>
    <t>74084</t>
  </si>
  <si>
    <t>Paulo Filipe Souto Soares</t>
  </si>
  <si>
    <t>Coordenador de SMS de Serviços de Campo</t>
  </si>
  <si>
    <t>74087</t>
  </si>
  <si>
    <t>Luciano Eduardo Miranda de Paula</t>
  </si>
  <si>
    <t>Gerente de Planejamento de Serviços de Campo</t>
  </si>
  <si>
    <t>74088</t>
  </si>
  <si>
    <t>Fagner Chaves Mauricio</t>
  </si>
  <si>
    <t>Coordenador Técnico de Planejamento de Serviços de Campo III</t>
  </si>
  <si>
    <t>74092</t>
  </si>
  <si>
    <t>Renata Saraiva Braga Rocha</t>
  </si>
  <si>
    <t>Analista de Contratos I</t>
  </si>
  <si>
    <t>74102</t>
  </si>
  <si>
    <t>Ana Clara Almeida Paulino Andrade</t>
  </si>
  <si>
    <t>Aprendiz de Auxiliar Administrativo</t>
  </si>
  <si>
    <t>Aprendiz - Filial</t>
  </si>
  <si>
    <t>74104</t>
  </si>
  <si>
    <t>Davi Barbosa Pereira do Nascimento</t>
  </si>
  <si>
    <t>74105</t>
  </si>
  <si>
    <t>Davi Goncalves Costa</t>
  </si>
  <si>
    <t>Aprendiz de Auxiliar de Desenvolvedor em Sistemas de TI</t>
  </si>
  <si>
    <t>74107</t>
  </si>
  <si>
    <t>Samuel Alves Goncalves</t>
  </si>
  <si>
    <t>74131</t>
  </si>
  <si>
    <t>Manoel Ferreira Junior</t>
  </si>
  <si>
    <t>Técnico de Logística de Serviços de Campo II</t>
  </si>
  <si>
    <t>74133</t>
  </si>
  <si>
    <t>Davi Italo Pereira</t>
  </si>
  <si>
    <t>74136</t>
  </si>
  <si>
    <t>Igor De Oliveira Sabino Braga</t>
  </si>
  <si>
    <t>Engenheiro de Serviços de Campo I</t>
  </si>
  <si>
    <t>74138</t>
  </si>
  <si>
    <t>Sarah Campos Day</t>
  </si>
  <si>
    <t>74139</t>
  </si>
  <si>
    <t>Stefano Luiz de Araujo</t>
  </si>
  <si>
    <t>Engenheiro de Projetos I</t>
  </si>
  <si>
    <t>74141</t>
  </si>
  <si>
    <t>Ana Flavia de Oliveira Santos</t>
  </si>
  <si>
    <t>74142</t>
  </si>
  <si>
    <t>Kahena Luiza de Sousa Gonzaga</t>
  </si>
  <si>
    <t>74143</t>
  </si>
  <si>
    <t>Felipe Santos da Silva</t>
  </si>
  <si>
    <t>74146</t>
  </si>
  <si>
    <t>Douglas Machado Fernandes</t>
  </si>
  <si>
    <t>74147</t>
  </si>
  <si>
    <t>Fabiana Carolina da Silva Aires</t>
  </si>
  <si>
    <t>74148</t>
  </si>
  <si>
    <t>Girlesio Rainer Junior</t>
  </si>
  <si>
    <t>Analista de Excelência Operacional II</t>
  </si>
  <si>
    <t>74149</t>
  </si>
  <si>
    <t>Jhonatas Jardim Nascimento</t>
  </si>
  <si>
    <t>Auxiliar de Suporte em Sistemas III</t>
  </si>
  <si>
    <t>74150</t>
  </si>
  <si>
    <t>Cristian Fernandes Rocha Leal</t>
  </si>
  <si>
    <t>74151</t>
  </si>
  <si>
    <t>Rillery Gomes do Nascimento</t>
  </si>
  <si>
    <t>74152</t>
  </si>
  <si>
    <t>Walef Da Silva Amorim</t>
  </si>
  <si>
    <t>Auxiliar de Infraestrutura II</t>
  </si>
  <si>
    <t>74153</t>
  </si>
  <si>
    <t>Anderson Oliveira Xavier</t>
  </si>
  <si>
    <t>Auxiliar Técnico de Manutenção I</t>
  </si>
  <si>
    <t>74193</t>
  </si>
  <si>
    <t>Adao Alessandro Costa</t>
  </si>
  <si>
    <t>74194</t>
  </si>
  <si>
    <t>Alvaro Mariano da Silva</t>
  </si>
  <si>
    <t>74195</t>
  </si>
  <si>
    <t>Claudinei Avelino Luiz</t>
  </si>
  <si>
    <t>74198</t>
  </si>
  <si>
    <t>Jabes Sergio Barbosa</t>
  </si>
  <si>
    <t>74199</t>
  </si>
  <si>
    <t>Leandro Cesar da Silva Vitor</t>
  </si>
  <si>
    <t>Operador de Desempeno I</t>
  </si>
  <si>
    <t>74201</t>
  </si>
  <si>
    <t>Selmo Ramon Couto</t>
  </si>
  <si>
    <t>74202</t>
  </si>
  <si>
    <t>Yuri Fernandes Faustino Reis</t>
  </si>
  <si>
    <t>74212</t>
  </si>
  <si>
    <t>Anabel Almeida de Oliveira</t>
  </si>
  <si>
    <t>74213</t>
  </si>
  <si>
    <t>Ana Beatriz Pereira Costa</t>
  </si>
  <si>
    <t>74214</t>
  </si>
  <si>
    <t>Jefferson Ricardo Ferreira</t>
  </si>
  <si>
    <t>74217</t>
  </si>
  <si>
    <t>Daniel Augusto Oliveira Silva</t>
  </si>
  <si>
    <t>74219</t>
  </si>
  <si>
    <t>Kaylane Stefani Barbosa de Paula</t>
  </si>
  <si>
    <t>74220</t>
  </si>
  <si>
    <t>Luiz Fernando Carvalho Soares</t>
  </si>
  <si>
    <t>74221</t>
  </si>
  <si>
    <t>Tiago Dias Estevao</t>
  </si>
  <si>
    <t>74222</t>
  </si>
  <si>
    <t>Pedro Henrique Teixeira Nicoliche Ferreira</t>
  </si>
  <si>
    <t>74223</t>
  </si>
  <si>
    <t>Edmundo Jose Ferreira</t>
  </si>
  <si>
    <t>74224</t>
  </si>
  <si>
    <t>Luiza Balbina Rocha</t>
  </si>
  <si>
    <t>Auxiliar Técnico de Caldeiraria II</t>
  </si>
  <si>
    <t>74225</t>
  </si>
  <si>
    <t>Marcos Antonio Pereira</t>
  </si>
  <si>
    <t>Auxiliar de Arquivo Técnico I</t>
  </si>
  <si>
    <t>74226</t>
  </si>
  <si>
    <t>Vanderson Fernando Goncalves Silva</t>
  </si>
  <si>
    <t>74227</t>
  </si>
  <si>
    <t>Ana Carolina Pereira Porto</t>
  </si>
  <si>
    <t>74229</t>
  </si>
  <si>
    <t>Caio Fabio da Silva Teodoro</t>
  </si>
  <si>
    <t>74230</t>
  </si>
  <si>
    <t>Cristiano Gouveia Dos Santos</t>
  </si>
  <si>
    <t>74231</t>
  </si>
  <si>
    <t>Gustavo Henrique da Silva Amaral</t>
  </si>
  <si>
    <t>74232</t>
  </si>
  <si>
    <t>Marcio Junior Pereira Soares</t>
  </si>
  <si>
    <t>74233</t>
  </si>
  <si>
    <t>Pierre Martins Soares</t>
  </si>
  <si>
    <t>74234</t>
  </si>
  <si>
    <t>Victor Marcio Castilho Pereira</t>
  </si>
  <si>
    <t>Especialista de Departamento Pessoal</t>
  </si>
  <si>
    <t>74235</t>
  </si>
  <si>
    <t>Samuel Soares de Jesus Valerio</t>
  </si>
  <si>
    <t>74243</t>
  </si>
  <si>
    <t>Rodrigo Goncalves Moreira de Carvalho</t>
  </si>
  <si>
    <t>74244</t>
  </si>
  <si>
    <t>Millena Jardim Ferreira</t>
  </si>
  <si>
    <t>Técnico de Processos EMS I</t>
  </si>
  <si>
    <t>74245</t>
  </si>
  <si>
    <t>Whellyson Wagner Cunha Alves</t>
  </si>
  <si>
    <t>74246</t>
  </si>
  <si>
    <t>Joao Pereira Alves dos Santos</t>
  </si>
  <si>
    <t>74247</t>
  </si>
  <si>
    <t>Wenderson Santos Alfio de Souza</t>
  </si>
  <si>
    <t>74248</t>
  </si>
  <si>
    <t>Ademilson Da Conceicao Gomes</t>
  </si>
  <si>
    <t>74249</t>
  </si>
  <si>
    <t>Emerson Fernandes de Carvalho</t>
  </si>
  <si>
    <t>74250</t>
  </si>
  <si>
    <t>Daniel Venturato Fiorato</t>
  </si>
  <si>
    <t>74254</t>
  </si>
  <si>
    <t>Aguinaldo Augusto da Cruz</t>
  </si>
  <si>
    <t>74255</t>
  </si>
  <si>
    <t>Joao Pedro Pereira Leandro</t>
  </si>
  <si>
    <t>74256</t>
  </si>
  <si>
    <t>Jonatas Castro de Deus</t>
  </si>
  <si>
    <t>74257</t>
  </si>
  <si>
    <t>Beltrao Piter Alves Nogueira</t>
  </si>
  <si>
    <t>74259</t>
  </si>
  <si>
    <t>Rafael Pereira de Souza</t>
  </si>
  <si>
    <t>Analista de Negocios I</t>
  </si>
  <si>
    <t>74260</t>
  </si>
  <si>
    <t>Ederson Guimaraes Teixeira</t>
  </si>
  <si>
    <t>74261</t>
  </si>
  <si>
    <t>Willian Lucio Goncalves</t>
  </si>
  <si>
    <t>74263</t>
  </si>
  <si>
    <t>Caio Marcio Ferreira Araujo</t>
  </si>
  <si>
    <t>74264</t>
  </si>
  <si>
    <t>Adrisandra Alves de Oliveira Las Casas</t>
  </si>
  <si>
    <t>Analista de Departamento Pessoal II</t>
  </si>
  <si>
    <t>74265</t>
  </si>
  <si>
    <t>Danielle Fortini Lara</t>
  </si>
  <si>
    <t>Comprador Especialista</t>
  </si>
  <si>
    <t>74266</t>
  </si>
  <si>
    <t>Lucas Junior de Oliveira</t>
  </si>
  <si>
    <t>74267</t>
  </si>
  <si>
    <t>Hian Simoes de Sousa</t>
  </si>
  <si>
    <t>74268</t>
  </si>
  <si>
    <t>Marcelo Henrique Oliveira Ferreira</t>
  </si>
  <si>
    <t>Coordenador Técnico de Serviço de Campo II</t>
  </si>
  <si>
    <t>74269</t>
  </si>
  <si>
    <t>Robert Diniz Silva</t>
  </si>
  <si>
    <t>74270</t>
  </si>
  <si>
    <t>Rita de Cassia Quintao Gloria</t>
  </si>
  <si>
    <t>74272</t>
  </si>
  <si>
    <t>Natan Dias de Moura</t>
  </si>
  <si>
    <t>74273</t>
  </si>
  <si>
    <t>Weber Diniz Pereira da Cunha</t>
  </si>
  <si>
    <t>74274</t>
  </si>
  <si>
    <t>Enio de Oliveira Pinto</t>
  </si>
  <si>
    <t>74275</t>
  </si>
  <si>
    <t>Deiferson Carlos de Souza</t>
  </si>
  <si>
    <t>Operador de Montagem de Andaime I</t>
  </si>
  <si>
    <t>74276</t>
  </si>
  <si>
    <t>Yuri Marley Calazans De Oliveira</t>
  </si>
  <si>
    <t>74277</t>
  </si>
  <si>
    <t>Maicon Lopes Neves</t>
  </si>
  <si>
    <t>74278</t>
  </si>
  <si>
    <t>Edson Pereira dos Santos</t>
  </si>
  <si>
    <t>74279</t>
  </si>
  <si>
    <t>Felipe Gilberto Costa Felix</t>
  </si>
  <si>
    <t>74280</t>
  </si>
  <si>
    <t>Carlos Alberto Gomes da Silva</t>
  </si>
  <si>
    <t>74281</t>
  </si>
  <si>
    <t>Francisco Tavares De Macedo</t>
  </si>
  <si>
    <t>74282</t>
  </si>
  <si>
    <t>Luiza Caldeira de Aquino</t>
  </si>
  <si>
    <t>74283</t>
  </si>
  <si>
    <t>Diego Oliveira Fernandes</t>
  </si>
  <si>
    <t>74285</t>
  </si>
  <si>
    <t>Marcos Vinicius Fernandes dos Santos</t>
  </si>
  <si>
    <t>74286</t>
  </si>
  <si>
    <t>Samuel Alves de Oliveira</t>
  </si>
  <si>
    <t>74287</t>
  </si>
  <si>
    <t>Daniel Canabrava Martins</t>
  </si>
  <si>
    <t>74288</t>
  </si>
  <si>
    <t>Jean Michel da Silva</t>
  </si>
  <si>
    <t>74289</t>
  </si>
  <si>
    <t>Danilo Araujo Gomes Martins</t>
  </si>
  <si>
    <t>74290</t>
  </si>
  <si>
    <t>Thiago Correa dos Reis</t>
  </si>
  <si>
    <t>74291</t>
  </si>
  <si>
    <t>Gleisson Gabriel Santos Candido</t>
  </si>
  <si>
    <t>74292</t>
  </si>
  <si>
    <t>Pedro Henrique Alves Godinho</t>
  </si>
  <si>
    <t>74293</t>
  </si>
  <si>
    <t>Gabriel Pereira Santos</t>
  </si>
  <si>
    <t>74296</t>
  </si>
  <si>
    <t>Talison Couto Leite</t>
  </si>
  <si>
    <t>74297</t>
  </si>
  <si>
    <t>Andre Luiz Goncalves Lourenco</t>
  </si>
  <si>
    <t>74298</t>
  </si>
  <si>
    <t>Vitor Gabriel Teodoro Mendes</t>
  </si>
  <si>
    <t>74299</t>
  </si>
  <si>
    <t>Cassiano Gomes Quintiliano</t>
  </si>
  <si>
    <t>74300</t>
  </si>
  <si>
    <t>Marco Aurelio Candido Pereira</t>
  </si>
  <si>
    <t>74303</t>
  </si>
  <si>
    <t>Alexandre Humberto Piquerotti</t>
  </si>
  <si>
    <t>Comprador III</t>
  </si>
  <si>
    <t>74304</t>
  </si>
  <si>
    <t>Magno Xavier Moura</t>
  </si>
  <si>
    <t>74306</t>
  </si>
  <si>
    <t>Marcelo Gabriel dos Santos Rodrigues</t>
  </si>
  <si>
    <t>74307</t>
  </si>
  <si>
    <t>Makis Wesley Santos Rocha</t>
  </si>
  <si>
    <t>74308</t>
  </si>
  <si>
    <t>Bruno Oliveira Batista Reis</t>
  </si>
  <si>
    <t>Auxiliar de Expedição I</t>
  </si>
  <si>
    <t>74309</t>
  </si>
  <si>
    <t>Gabriel Augusto Fernandes Nascimento</t>
  </si>
  <si>
    <t>Operador de Expedição I</t>
  </si>
  <si>
    <t>74310</t>
  </si>
  <si>
    <t>Jeferson Lucas Alcantara dos Santos Soares</t>
  </si>
  <si>
    <t>74311</t>
  </si>
  <si>
    <t>Arthur Phellipe Ferreira Silva</t>
  </si>
  <si>
    <t>74313</t>
  </si>
  <si>
    <t>Mariane Garcia Soares</t>
  </si>
  <si>
    <t>74314</t>
  </si>
  <si>
    <t>Guilherme Sotero Zattar</t>
  </si>
  <si>
    <t>74315</t>
  </si>
  <si>
    <t>Ana Clara Assuncao Soares</t>
  </si>
  <si>
    <t>74316</t>
  </si>
  <si>
    <t>Hudson Barbosa Silva</t>
  </si>
  <si>
    <t>74318</t>
  </si>
  <si>
    <t>Cassiano Rufino de Jesus</t>
  </si>
  <si>
    <t>74320</t>
  </si>
  <si>
    <t>Edmar Fernando da Silva</t>
  </si>
  <si>
    <t>74321</t>
  </si>
  <si>
    <t>Richard Willian Martins</t>
  </si>
  <si>
    <t>74322</t>
  </si>
  <si>
    <t>Rian Jeronimo dos Santos</t>
  </si>
  <si>
    <t>74323</t>
  </si>
  <si>
    <t>Jelson da Silva Pereira</t>
  </si>
  <si>
    <t>74324</t>
  </si>
  <si>
    <t>Carlos Roberto da Silva</t>
  </si>
  <si>
    <t>74325</t>
  </si>
  <si>
    <t>Charles Eduardo de Souza Correa</t>
  </si>
  <si>
    <t>74326</t>
  </si>
  <si>
    <t>Caua Cristian Miranda Nunes</t>
  </si>
  <si>
    <t>74327</t>
  </si>
  <si>
    <t>Jenifer Aurea da Silva Almeida</t>
  </si>
  <si>
    <t>74328</t>
  </si>
  <si>
    <t>Luisa Lopes Valadares</t>
  </si>
  <si>
    <t>74329</t>
  </si>
  <si>
    <t>Marcela Santos de Oliveira</t>
  </si>
  <si>
    <t>74330</t>
  </si>
  <si>
    <t>Matheus Rodrigues Ribeiro</t>
  </si>
  <si>
    <t>74331</t>
  </si>
  <si>
    <t>Nikolas Marius Laussac</t>
  </si>
  <si>
    <t>74332</t>
  </si>
  <si>
    <t>Wanderson Santos Bina</t>
  </si>
  <si>
    <t>74333</t>
  </si>
  <si>
    <t>Beatriz Maria Caldeira Silva de Souza</t>
  </si>
  <si>
    <t>Auxiliar Técnico de Planejamento de Manutenção I</t>
  </si>
  <si>
    <t>74334</t>
  </si>
  <si>
    <t>Jorgemar Vicente de Paula Filho</t>
  </si>
  <si>
    <t>74335</t>
  </si>
  <si>
    <t>Alexandra dos Reis Rocha</t>
  </si>
  <si>
    <t>74336</t>
  </si>
  <si>
    <t>Jonathan Henrique Soares Rocha</t>
  </si>
  <si>
    <t>74337</t>
  </si>
  <si>
    <t>Kennedy Aparecido Silverio Ferreira</t>
  </si>
  <si>
    <t>74338</t>
  </si>
  <si>
    <t>Gabriel Vinicios Soares Martins</t>
  </si>
  <si>
    <t>74339</t>
  </si>
  <si>
    <t>Fabio Geraldo Marques Guimaraes</t>
  </si>
  <si>
    <t>74340</t>
  </si>
  <si>
    <t>Fernando Seabra de Araujo</t>
  </si>
  <si>
    <t>74341</t>
  </si>
  <si>
    <t>Alvaro Jose de Araujo</t>
  </si>
  <si>
    <t>74342</t>
  </si>
  <si>
    <t>Brendo dos Santos Silva</t>
  </si>
  <si>
    <t>74343</t>
  </si>
  <si>
    <t>Italo Augusto Felicio da Silva</t>
  </si>
  <si>
    <t>Operador de Pintura I</t>
  </si>
  <si>
    <t>74366</t>
  </si>
  <si>
    <t>Kaique Helbert Lisboa Magalhaes</t>
  </si>
  <si>
    <t>Auxiliar de Engenharia Industrial Mecânica I</t>
  </si>
  <si>
    <t>74367</t>
  </si>
  <si>
    <t>Marcelo Neves Costa Junior</t>
  </si>
  <si>
    <t>Analista de Endomarketing I</t>
  </si>
  <si>
    <t>74368</t>
  </si>
  <si>
    <t>Maria Gabriella Lopes Correa</t>
  </si>
  <si>
    <t>74369</t>
  </si>
  <si>
    <t>Ronio Carlos de Jesus</t>
  </si>
  <si>
    <t>74370</t>
  </si>
  <si>
    <t>Marcelo Henrique Rosa</t>
  </si>
  <si>
    <t>74371</t>
  </si>
  <si>
    <t>Sarah Candido de Menezes</t>
  </si>
  <si>
    <t>Técnico de Excelência Operacional I</t>
  </si>
  <si>
    <t>74372</t>
  </si>
  <si>
    <t>Valmir Faustino Belo</t>
  </si>
  <si>
    <t>74373</t>
  </si>
  <si>
    <t>Nivaldo Joaquim dos Santos Junior</t>
  </si>
  <si>
    <t>74374</t>
  </si>
  <si>
    <t>Giliardi de Carvalho Dias</t>
  </si>
  <si>
    <t>74375</t>
  </si>
  <si>
    <t>Chirlen Barbosa Chagas Lima</t>
  </si>
  <si>
    <t>74376</t>
  </si>
  <si>
    <t>Joelma Moreira Pinto</t>
  </si>
  <si>
    <t>Especialista de Recrutamento e Seleção</t>
  </si>
  <si>
    <t>74377</t>
  </si>
  <si>
    <t>Julio Cesar Bastos Ferreira</t>
  </si>
  <si>
    <t>Comprador I</t>
  </si>
  <si>
    <t>74378</t>
  </si>
  <si>
    <t>Marlon Arcanjo da Silva</t>
  </si>
  <si>
    <t>74379</t>
  </si>
  <si>
    <t>Igor Santana Santos</t>
  </si>
  <si>
    <t>74380</t>
  </si>
  <si>
    <t>Marcone Martins de Oliveira</t>
  </si>
  <si>
    <t>74381</t>
  </si>
  <si>
    <t>Gabriel Pereira dos Santos</t>
  </si>
  <si>
    <t>74382</t>
  </si>
  <si>
    <t>Reury Marcio de Assis</t>
  </si>
  <si>
    <t>74383</t>
  </si>
  <si>
    <t>Joao Felipe Moreira Netto</t>
  </si>
  <si>
    <t>Coordenador Técnico de Projetos II</t>
  </si>
  <si>
    <t>74384</t>
  </si>
  <si>
    <t>Isaac Goncalves da Silva</t>
  </si>
  <si>
    <t>Auxiliar Técnico de Pintura I</t>
  </si>
  <si>
    <t>74385</t>
  </si>
  <si>
    <t>Thiago Vieira Barbosa da Silva</t>
  </si>
  <si>
    <t>74386</t>
  </si>
  <si>
    <t>Matheus Milagres Rosa</t>
  </si>
  <si>
    <t>74387</t>
  </si>
  <si>
    <t>Carlos Eduardo de Jesus Marques</t>
  </si>
  <si>
    <t>74388</t>
  </si>
  <si>
    <t>Hudson Leonardo Alves Martins</t>
  </si>
  <si>
    <t>74389</t>
  </si>
  <si>
    <t>Edson Pereira Azevedo</t>
  </si>
  <si>
    <t>74390</t>
  </si>
  <si>
    <t>Daniel de Souza Tavares Xavier</t>
  </si>
  <si>
    <t>74391</t>
  </si>
  <si>
    <t>Ramon Eduardo Silva</t>
  </si>
  <si>
    <t>74392</t>
  </si>
  <si>
    <t>Alexis Jesus dos Santos</t>
  </si>
  <si>
    <t>74393</t>
  </si>
  <si>
    <t>Tarcio Costa Junior</t>
  </si>
  <si>
    <t>74394</t>
  </si>
  <si>
    <t>Raimundo Alberto Marques dos Santos</t>
  </si>
  <si>
    <t>74395</t>
  </si>
  <si>
    <t>Mateus Cesar Leao</t>
  </si>
  <si>
    <t>Analista de Sistemas II</t>
  </si>
  <si>
    <t>74396</t>
  </si>
  <si>
    <t>Flavio Henrique de Jesus Conrado</t>
  </si>
  <si>
    <t>74397</t>
  </si>
  <si>
    <t>Rodrigo Jose Bruno da Silva</t>
  </si>
  <si>
    <t>74398</t>
  </si>
  <si>
    <t>Marley Gomes Dias</t>
  </si>
  <si>
    <t>Comprador Internacional IV</t>
  </si>
  <si>
    <t>74399</t>
  </si>
  <si>
    <t>Vanderson Fernando Faustino</t>
  </si>
  <si>
    <t>74400</t>
  </si>
  <si>
    <t>Sebastiao Daquis de Oliveira</t>
  </si>
  <si>
    <t>74401</t>
  </si>
  <si>
    <t>Deyvson Alves da Silva</t>
  </si>
  <si>
    <t>74402</t>
  </si>
  <si>
    <t>Marcos Paulo Rodrigues Pereira</t>
  </si>
  <si>
    <t>74403</t>
  </si>
  <si>
    <t>Lunna Ferreira Castelo Rodrigues</t>
  </si>
  <si>
    <t>74404</t>
  </si>
  <si>
    <t>Roberto Araujo Viana Junior</t>
  </si>
  <si>
    <t>Analista de Planejamento II</t>
  </si>
  <si>
    <t>74406</t>
  </si>
  <si>
    <t>Charles Pereira</t>
  </si>
  <si>
    <t>74407</t>
  </si>
  <si>
    <t>Marcus Vinicius dos Santos Barbosa Rodrigues</t>
  </si>
  <si>
    <t>74408</t>
  </si>
  <si>
    <t>Cesar Augustus Vieira Nunes</t>
  </si>
  <si>
    <t>Analista de Negocios II</t>
  </si>
  <si>
    <t>74409</t>
  </si>
  <si>
    <t>Michael Douglas dos Santos Andre</t>
  </si>
  <si>
    <t>74410</t>
  </si>
  <si>
    <t>Cristian Nunes Pereira</t>
  </si>
  <si>
    <t>74411</t>
  </si>
  <si>
    <t>Ezequiel Rodrigues Miguel da Silva</t>
  </si>
  <si>
    <t>74412</t>
  </si>
  <si>
    <t>Henrique Augusto da Silva</t>
  </si>
  <si>
    <t>Analista de FP&amp;A</t>
  </si>
  <si>
    <t>74413</t>
  </si>
  <si>
    <t>Tiago Henrique Teixeira</t>
  </si>
  <si>
    <t>74414</t>
  </si>
  <si>
    <t>Tiago Ferreira Silverio</t>
  </si>
  <si>
    <t>74415</t>
  </si>
  <si>
    <t>Alexandre Ferreira da Silva</t>
  </si>
  <si>
    <t>74416</t>
  </si>
  <si>
    <t>Wiliam Fidelix</t>
  </si>
  <si>
    <t>74417</t>
  </si>
  <si>
    <t>Marcio Yuri Gomes Luz</t>
  </si>
  <si>
    <t>74418</t>
  </si>
  <si>
    <t>Maxsoel Mascarenhas Geraldo</t>
  </si>
  <si>
    <t>74419</t>
  </si>
  <si>
    <t>Bruno Silva Loiola</t>
  </si>
  <si>
    <t>Assistente de Planejamento II</t>
  </si>
  <si>
    <t>74420</t>
  </si>
  <si>
    <t>Paulo Nogueira Junior</t>
  </si>
  <si>
    <t>74421</t>
  </si>
  <si>
    <t>Joao Victor da Silva Reis</t>
  </si>
  <si>
    <t>SEÇÃO</t>
  </si>
  <si>
    <t>CUSTO HORA</t>
  </si>
  <si>
    <t>IS_BACKOFFICE</t>
  </si>
  <si>
    <t>SQUAD</t>
  </si>
  <si>
    <t>HORAS / SEM</t>
  </si>
  <si>
    <t>TOTAL</t>
  </si>
  <si>
    <t>membro</t>
  </si>
  <si>
    <t>area</t>
  </si>
  <si>
    <t>ordem_cronograma</t>
  </si>
  <si>
    <t>Análise de viabilidade técnica</t>
  </si>
  <si>
    <t>Triagem NID</t>
  </si>
  <si>
    <t>MBR-006</t>
  </si>
  <si>
    <t>MBR-007</t>
  </si>
  <si>
    <t>Expansão</t>
  </si>
  <si>
    <t>MBR-008</t>
  </si>
  <si>
    <t>Assinatura de Contrato</t>
  </si>
  <si>
    <t>MBR-009</t>
  </si>
  <si>
    <t>Bloqueado</t>
  </si>
  <si>
    <t>MBR-010</t>
  </si>
  <si>
    <t>MBR-011</t>
  </si>
  <si>
    <t>MBR-012</t>
  </si>
  <si>
    <t>MBR-013</t>
  </si>
  <si>
    <t>MBR-014</t>
  </si>
  <si>
    <t>MBR-015</t>
  </si>
  <si>
    <t>MBR-016</t>
  </si>
  <si>
    <t>MBR-017</t>
  </si>
  <si>
    <t>MBR-018</t>
  </si>
  <si>
    <t>MBR-019</t>
  </si>
  <si>
    <t>MBR-020</t>
  </si>
  <si>
    <t>MBR-021</t>
  </si>
  <si>
    <t>MBR-022</t>
  </si>
  <si>
    <t>MBR-023</t>
  </si>
  <si>
    <t>MBR-024</t>
  </si>
  <si>
    <t>MBR-025</t>
  </si>
  <si>
    <t>MBR-026</t>
  </si>
  <si>
    <t>MBR-027</t>
  </si>
  <si>
    <t>MBR-028</t>
  </si>
  <si>
    <t>MBR-029</t>
  </si>
  <si>
    <t>MBR-030</t>
  </si>
  <si>
    <t>MBR-031</t>
  </si>
  <si>
    <t>MBR-032</t>
  </si>
  <si>
    <t>MBR-034</t>
  </si>
  <si>
    <t>MBR-035</t>
  </si>
  <si>
    <t>MBR-036</t>
  </si>
  <si>
    <t>PRJ-037</t>
  </si>
  <si>
    <t>MBR-037</t>
  </si>
  <si>
    <t>MBR-038</t>
  </si>
  <si>
    <t>MBR-039</t>
  </si>
  <si>
    <t>MBR-040</t>
  </si>
  <si>
    <t>MBR-041</t>
  </si>
  <si>
    <t>PRJ-042</t>
  </si>
  <si>
    <t>MBR-042</t>
  </si>
  <si>
    <t>PRJ-043</t>
  </si>
  <si>
    <t>MBR-043</t>
  </si>
  <si>
    <t>PRJ-044</t>
  </si>
  <si>
    <t>MBR-044</t>
  </si>
  <si>
    <t>PRJ-045</t>
  </si>
  <si>
    <t>MBR-045</t>
  </si>
  <si>
    <t>PRJ-046</t>
  </si>
  <si>
    <t>MBR-046</t>
  </si>
  <si>
    <t>PRJ-047</t>
  </si>
  <si>
    <t>MBR-047</t>
  </si>
  <si>
    <t>PRJ-048</t>
  </si>
  <si>
    <t>MBR-048</t>
  </si>
  <si>
    <t>PRJ-049</t>
  </si>
  <si>
    <t>MBR-049</t>
  </si>
  <si>
    <t>PRJ-050</t>
  </si>
  <si>
    <t>MBR-050</t>
  </si>
  <si>
    <t>PRJ-051</t>
  </si>
  <si>
    <t>MBR-051</t>
  </si>
  <si>
    <t>PRJ-052</t>
  </si>
  <si>
    <t>MBR-052</t>
  </si>
  <si>
    <t>PRJ-053</t>
  </si>
  <si>
    <t>MBR-053</t>
  </si>
  <si>
    <t>PRJ-054</t>
  </si>
  <si>
    <t>MBR-054</t>
  </si>
  <si>
    <t>PRJ-055</t>
  </si>
  <si>
    <t>MBR-055</t>
  </si>
  <si>
    <t>PRJ-056</t>
  </si>
  <si>
    <t>MBR-056</t>
  </si>
  <si>
    <t>PRJ-057</t>
  </si>
  <si>
    <t>MBR-057</t>
  </si>
  <si>
    <t>PRJ-058</t>
  </si>
  <si>
    <t>MBR-058</t>
  </si>
  <si>
    <t>PRJ-059</t>
  </si>
  <si>
    <t>MBR-059</t>
  </si>
  <si>
    <t>PRJ-060</t>
  </si>
  <si>
    <t>MBR-060</t>
  </si>
  <si>
    <t>PRJ-061</t>
  </si>
  <si>
    <t>MBR-061</t>
  </si>
  <si>
    <t>PRJ-062</t>
  </si>
  <si>
    <t>MBR-062</t>
  </si>
  <si>
    <t>PRJ-063</t>
  </si>
  <si>
    <t>MBR-063</t>
  </si>
  <si>
    <t>PRJ-064</t>
  </si>
  <si>
    <t>MBR-064</t>
  </si>
  <si>
    <t>PRJ-065</t>
  </si>
  <si>
    <t>MBR-065</t>
  </si>
  <si>
    <t>PRJ-066</t>
  </si>
  <si>
    <t>MBR-066</t>
  </si>
  <si>
    <t>PRJ-067</t>
  </si>
  <si>
    <t>MBR-067</t>
  </si>
  <si>
    <t>PRJ-068</t>
  </si>
  <si>
    <t>MBR-068</t>
  </si>
  <si>
    <t>PRJ-069</t>
  </si>
  <si>
    <t>MBR-069</t>
  </si>
  <si>
    <t>PRJ-070</t>
  </si>
  <si>
    <t>MBR-070</t>
  </si>
  <si>
    <t>PRJ-071</t>
  </si>
  <si>
    <t>MBR-071</t>
  </si>
  <si>
    <t>PRJ-072</t>
  </si>
  <si>
    <t>MBR-072</t>
  </si>
  <si>
    <t>PRJ-073</t>
  </si>
  <si>
    <t>MBR-073</t>
  </si>
  <si>
    <t>PRJ-074</t>
  </si>
  <si>
    <t>MBR-074</t>
  </si>
  <si>
    <t>PRJ-075</t>
  </si>
  <si>
    <t>MBR-075</t>
  </si>
  <si>
    <t>PRJ-076</t>
  </si>
  <si>
    <t>MBR-076</t>
  </si>
  <si>
    <t>PRJ-077</t>
  </si>
  <si>
    <t>MBR-077</t>
  </si>
  <si>
    <t>PRJ-078</t>
  </si>
  <si>
    <t>MBR-078</t>
  </si>
  <si>
    <t>PRJ-079</t>
  </si>
  <si>
    <t>MBR-079</t>
  </si>
  <si>
    <t>PRJ-080</t>
  </si>
  <si>
    <t>MBR-080</t>
  </si>
  <si>
    <t>PRJ-081</t>
  </si>
  <si>
    <t>MBR-081</t>
  </si>
  <si>
    <t>PRJ-082</t>
  </si>
  <si>
    <t>MBR-082</t>
  </si>
  <si>
    <t>PRJ-083</t>
  </si>
  <si>
    <t>MBR-083</t>
  </si>
  <si>
    <t>PRJ-084</t>
  </si>
  <si>
    <t>MBR-084</t>
  </si>
  <si>
    <t>PRJ-085</t>
  </si>
  <si>
    <t>MBR-085</t>
  </si>
  <si>
    <t>PRJ-086</t>
  </si>
  <si>
    <t>MBR-086</t>
  </si>
  <si>
    <t>PRJ-087</t>
  </si>
  <si>
    <t>MBR-087</t>
  </si>
  <si>
    <t>PRJ-088</t>
  </si>
  <si>
    <t>MBR-088</t>
  </si>
  <si>
    <t>PRJ-089</t>
  </si>
  <si>
    <t>MBR-089</t>
  </si>
  <si>
    <t>PRJ-090</t>
  </si>
  <si>
    <t>MBR-090</t>
  </si>
  <si>
    <t>PRJ-091</t>
  </si>
  <si>
    <t>MBR-091</t>
  </si>
  <si>
    <t>PRJ-092</t>
  </si>
  <si>
    <t>MBR-092</t>
  </si>
  <si>
    <t>PRJ-093</t>
  </si>
  <si>
    <t>MBR-093</t>
  </si>
  <si>
    <t>PRJ-094</t>
  </si>
  <si>
    <t>MBR-094</t>
  </si>
  <si>
    <t>PRJ-095</t>
  </si>
  <si>
    <t>MBR-095</t>
  </si>
  <si>
    <t>PRJ-096</t>
  </si>
  <si>
    <t>MBR-096</t>
  </si>
  <si>
    <t>PRJ-097</t>
  </si>
  <si>
    <t>MBR-097</t>
  </si>
  <si>
    <t>PRJ-098</t>
  </si>
  <si>
    <t>MBR-098</t>
  </si>
  <si>
    <t>PRJ-099</t>
  </si>
  <si>
    <t>MBR-099</t>
  </si>
  <si>
    <t>PRJ-100</t>
  </si>
  <si>
    <t>MBR-100</t>
  </si>
  <si>
    <t>PRJ-101</t>
  </si>
  <si>
    <t>PRJ-102</t>
  </si>
  <si>
    <t>PRJ-103</t>
  </si>
  <si>
    <t>PRJ-104</t>
  </si>
  <si>
    <t>PRJ-105</t>
  </si>
  <si>
    <t>PRJ-106</t>
  </si>
  <si>
    <t>PRJ-107</t>
  </si>
  <si>
    <t>PRJ-108</t>
  </si>
  <si>
    <t>PRJ-109</t>
  </si>
  <si>
    <t>PRJ-110</t>
  </si>
  <si>
    <t>PRJ-111</t>
  </si>
  <si>
    <t>PRJ-112</t>
  </si>
  <si>
    <t>PRJ-113</t>
  </si>
  <si>
    <t>PRJ-114</t>
  </si>
  <si>
    <t>PRJ-115</t>
  </si>
  <si>
    <t>PRJ-116</t>
  </si>
  <si>
    <t>PRJ-117</t>
  </si>
  <si>
    <t>PRJ-118</t>
  </si>
  <si>
    <t>PRJ-119</t>
  </si>
  <si>
    <t>PRJ-120</t>
  </si>
  <si>
    <t>PRJ-121</t>
  </si>
  <si>
    <t>PRJ-122</t>
  </si>
  <si>
    <t>PRJ-123</t>
  </si>
  <si>
    <t>PRJ-124</t>
  </si>
  <si>
    <t>PRJ-125</t>
  </si>
  <si>
    <t>PRJ-126</t>
  </si>
  <si>
    <t>PRJ-127</t>
  </si>
  <si>
    <t>PRJ-128</t>
  </si>
  <si>
    <t>PRJ-129</t>
  </si>
  <si>
    <t>PRJ-130</t>
  </si>
  <si>
    <t>PRJ-131</t>
  </si>
  <si>
    <t>PRJ-132</t>
  </si>
  <si>
    <t>PRJ-133</t>
  </si>
  <si>
    <t>PRJ-134</t>
  </si>
  <si>
    <t>PRJ-135</t>
  </si>
  <si>
    <t>PRJ-136</t>
  </si>
  <si>
    <t>PRJ-137</t>
  </si>
  <si>
    <t>PRJ-138</t>
  </si>
  <si>
    <t>PRJ-139</t>
  </si>
  <si>
    <t>PRJ-140</t>
  </si>
  <si>
    <t>PRJ-141</t>
  </si>
  <si>
    <t>PRJ-142</t>
  </si>
  <si>
    <t>PRJ-143</t>
  </si>
  <si>
    <t>PRJ-144</t>
  </si>
  <si>
    <t>PRJ-145</t>
  </si>
  <si>
    <t>PRJ-146</t>
  </si>
  <si>
    <t>PRJ-147</t>
  </si>
  <si>
    <t>PRJ-148</t>
  </si>
  <si>
    <t>PRJ-149</t>
  </si>
  <si>
    <t>PRJ-150</t>
  </si>
  <si>
    <t>PRJ-151</t>
  </si>
  <si>
    <t>PRJ-152</t>
  </si>
  <si>
    <t>PRJ-153</t>
  </si>
  <si>
    <t>PRJ-154</t>
  </si>
  <si>
    <t>PRJ-155</t>
  </si>
  <si>
    <t>PRJ-156</t>
  </si>
  <si>
    <t>PRJ-157</t>
  </si>
  <si>
    <t>PRJ-158</t>
  </si>
  <si>
    <t>PRJ-159</t>
  </si>
  <si>
    <t>PRJ-160</t>
  </si>
  <si>
    <t>PRJ-161</t>
  </si>
  <si>
    <t>PRJ-162</t>
  </si>
  <si>
    <t>PRJ-163</t>
  </si>
  <si>
    <t>PRJ-164</t>
  </si>
  <si>
    <t>PRJ-165</t>
  </si>
  <si>
    <t>PRJ-166</t>
  </si>
  <si>
    <t>PRJ-167</t>
  </si>
  <si>
    <t>PRJ-168</t>
  </si>
  <si>
    <t>PRJ-169</t>
  </si>
  <si>
    <t>PRJ-170</t>
  </si>
  <si>
    <t>PRJ-171</t>
  </si>
  <si>
    <t>PRJ-172</t>
  </si>
  <si>
    <t>PRJ-173</t>
  </si>
  <si>
    <t>PRJ-174</t>
  </si>
  <si>
    <t>PRJ-175</t>
  </si>
  <si>
    <t>PRJ-176</t>
  </si>
  <si>
    <t>PRJ-177</t>
  </si>
  <si>
    <t>PRJ-178</t>
  </si>
  <si>
    <t>PRJ-179</t>
  </si>
  <si>
    <t>PRJ-180</t>
  </si>
  <si>
    <t>PRJ-181</t>
  </si>
  <si>
    <t>PRJ-182</t>
  </si>
  <si>
    <t>PRJ-183</t>
  </si>
  <si>
    <t>PRJ-184</t>
  </si>
  <si>
    <t>PRJ-185</t>
  </si>
  <si>
    <t>PRJ-186</t>
  </si>
  <si>
    <t>PRJ-187</t>
  </si>
  <si>
    <t>PRJ-188</t>
  </si>
  <si>
    <t>PRJ-189</t>
  </si>
  <si>
    <t>PRJ-190</t>
  </si>
  <si>
    <t>PRJ-191</t>
  </si>
  <si>
    <t>PRJ-192</t>
  </si>
  <si>
    <t>PRJ-193</t>
  </si>
  <si>
    <t>PRJ-194</t>
  </si>
  <si>
    <t>PRJ-195</t>
  </si>
  <si>
    <t>PRJ-196</t>
  </si>
  <si>
    <t>PRJ-197</t>
  </si>
  <si>
    <t>PRJ-198</t>
  </si>
  <si>
    <t>PRJ-199</t>
  </si>
  <si>
    <t>PRJ-200</t>
  </si>
  <si>
    <t>PRJ-201</t>
  </si>
  <si>
    <t>PRJ-202</t>
  </si>
  <si>
    <t>PRJ-203</t>
  </si>
  <si>
    <t>PRJ-204</t>
  </si>
  <si>
    <t>PRJ-205</t>
  </si>
  <si>
    <t>PRJ-206</t>
  </si>
  <si>
    <t>PRJ-207</t>
  </si>
  <si>
    <t>PRJ-208</t>
  </si>
  <si>
    <t>PRJ-209</t>
  </si>
  <si>
    <t>PRJ-210</t>
  </si>
  <si>
    <t>PRJ-211</t>
  </si>
  <si>
    <t>PRJ-212</t>
  </si>
  <si>
    <t>PRJ-213</t>
  </si>
  <si>
    <t>PRJ-214</t>
  </si>
  <si>
    <t>PRJ-215</t>
  </si>
  <si>
    <t>PRJ-216</t>
  </si>
  <si>
    <t>PRJ-217</t>
  </si>
  <si>
    <t>PRJ-218</t>
  </si>
  <si>
    <t>PRJ-219</t>
  </si>
  <si>
    <t>PRJ-220</t>
  </si>
  <si>
    <t>PRJ-221</t>
  </si>
  <si>
    <t>PRJ-222</t>
  </si>
  <si>
    <t>PRJ-223</t>
  </si>
  <si>
    <t>PRJ-224</t>
  </si>
  <si>
    <t>PRJ-225</t>
  </si>
  <si>
    <t>PRJ-226</t>
  </si>
  <si>
    <t>PRJ-227</t>
  </si>
  <si>
    <t>PRJ-228</t>
  </si>
  <si>
    <t>PRJ-229</t>
  </si>
  <si>
    <t>PRJ-230</t>
  </si>
  <si>
    <t>PRJ-231</t>
  </si>
  <si>
    <t>PRJ-232</t>
  </si>
  <si>
    <t>PRJ-233</t>
  </si>
  <si>
    <t>PRJ-234</t>
  </si>
  <si>
    <t>PRJ-235</t>
  </si>
  <si>
    <t>PRJ-236</t>
  </si>
  <si>
    <t>PRJ-237</t>
  </si>
  <si>
    <t>PRJ-238</t>
  </si>
  <si>
    <t>PRJ-239</t>
  </si>
  <si>
    <t>PRJ-240</t>
  </si>
  <si>
    <t>PRJ-241</t>
  </si>
  <si>
    <t>PRJ-242</t>
  </si>
  <si>
    <t>PRJ-243</t>
  </si>
  <si>
    <t>PRJ-244</t>
  </si>
  <si>
    <t>PRJ-245</t>
  </si>
  <si>
    <t>PRJ-246</t>
  </si>
  <si>
    <t>PRJ-247</t>
  </si>
  <si>
    <t>PRJ-248</t>
  </si>
  <si>
    <t>PRJ-249</t>
  </si>
  <si>
    <t>PRJ-250</t>
  </si>
  <si>
    <t>PRJ-251</t>
  </si>
  <si>
    <t>PRJ-252</t>
  </si>
  <si>
    <t>PRJ-253</t>
  </si>
  <si>
    <t>PRJ-254</t>
  </si>
  <si>
    <t>PRJ-255</t>
  </si>
  <si>
    <t>PRJ-256</t>
  </si>
  <si>
    <t>PRJ-257</t>
  </si>
  <si>
    <t>PRJ-258</t>
  </si>
  <si>
    <t>PRJ-259</t>
  </si>
  <si>
    <t>PRJ-260</t>
  </si>
  <si>
    <t>PRJ-261</t>
  </si>
  <si>
    <t>PRJ-262</t>
  </si>
  <si>
    <t>PRJ-263</t>
  </si>
  <si>
    <t>PRJ-264</t>
  </si>
  <si>
    <t>PRJ-265</t>
  </si>
  <si>
    <t>PRJ-266</t>
  </si>
  <si>
    <t>PRJ-267</t>
  </si>
  <si>
    <t>PRJ-268</t>
  </si>
  <si>
    <t>PRJ-269</t>
  </si>
  <si>
    <t>PRJ-270</t>
  </si>
  <si>
    <t>PRJ-271</t>
  </si>
  <si>
    <t>PRJ-272</t>
  </si>
  <si>
    <t>PRJ-273</t>
  </si>
  <si>
    <t>PRJ-274</t>
  </si>
  <si>
    <t>PRJ-275</t>
  </si>
  <si>
    <t>PRJ-276</t>
  </si>
  <si>
    <t>PRJ-277</t>
  </si>
  <si>
    <t>PRJ-278</t>
  </si>
  <si>
    <t>PRJ-279</t>
  </si>
  <si>
    <t>PRJ-280</t>
  </si>
  <si>
    <t>PRJ-281</t>
  </si>
  <si>
    <t>PRJ-282</t>
  </si>
  <si>
    <t>PRJ-283</t>
  </si>
  <si>
    <t>PRJ-284</t>
  </si>
  <si>
    <t>PRJ-285</t>
  </si>
  <si>
    <t>PRJ-286</t>
  </si>
  <si>
    <t>PRJ-287</t>
  </si>
  <si>
    <t>PRJ-288</t>
  </si>
  <si>
    <t>PRJ-289</t>
  </si>
  <si>
    <t>PRJ-290</t>
  </si>
  <si>
    <t>PRJ-291</t>
  </si>
  <si>
    <t>PRJ-292</t>
  </si>
  <si>
    <t>PRJ-293</t>
  </si>
  <si>
    <t>PRJ-294</t>
  </si>
  <si>
    <t>PRJ-295</t>
  </si>
  <si>
    <t>PRJ-296</t>
  </si>
  <si>
    <t>PRJ-297</t>
  </si>
  <si>
    <t>PRJ-298</t>
  </si>
  <si>
    <t>PRJ-299</t>
  </si>
  <si>
    <t>PRJ-300</t>
  </si>
  <si>
    <t>PRJ-301</t>
  </si>
  <si>
    <t>PRJ-302</t>
  </si>
  <si>
    <t>PRJ-303</t>
  </si>
  <si>
    <t>PRJ-304</t>
  </si>
  <si>
    <t>PRJ-305</t>
  </si>
  <si>
    <t>PRJ-306</t>
  </si>
  <si>
    <t>PRJ-307</t>
  </si>
  <si>
    <t>PRJ-308</t>
  </si>
  <si>
    <t>PRJ-309</t>
  </si>
  <si>
    <t>PRJ-310</t>
  </si>
  <si>
    <t>PRJ-311</t>
  </si>
  <si>
    <t>PRJ-312</t>
  </si>
  <si>
    <t>PRJ-313</t>
  </si>
  <si>
    <t>PRJ-314</t>
  </si>
  <si>
    <t>PRJ-315</t>
  </si>
  <si>
    <t>PRJ-316</t>
  </si>
  <si>
    <t>PRJ-317</t>
  </si>
  <si>
    <t>PRJ-318</t>
  </si>
  <si>
    <t>PRJ-319</t>
  </si>
  <si>
    <t>PRJ-320</t>
  </si>
  <si>
    <t>PRJ-321</t>
  </si>
  <si>
    <t>PRJ-322</t>
  </si>
  <si>
    <t>PRJ-323</t>
  </si>
  <si>
    <t>PRJ-324</t>
  </si>
  <si>
    <t>PRJ-325</t>
  </si>
  <si>
    <t>PRJ-326</t>
  </si>
  <si>
    <t>PRJ-327</t>
  </si>
  <si>
    <t>PRJ-328</t>
  </si>
  <si>
    <t>PRJ-329</t>
  </si>
  <si>
    <t>PRJ-330</t>
  </si>
  <si>
    <t>PRJ-331</t>
  </si>
  <si>
    <t>PRJ-332</t>
  </si>
  <si>
    <t>PRJ-333</t>
  </si>
  <si>
    <t>PRJ-334</t>
  </si>
  <si>
    <t>PRJ-335</t>
  </si>
  <si>
    <t>PRJ-336</t>
  </si>
  <si>
    <t>PRJ-337</t>
  </si>
  <si>
    <t>PRJ-338</t>
  </si>
  <si>
    <t>PRJ-339</t>
  </si>
  <si>
    <t>PRJ-340</t>
  </si>
  <si>
    <t>PRJ-341</t>
  </si>
  <si>
    <t>PRJ-342</t>
  </si>
  <si>
    <t>PRJ-343</t>
  </si>
  <si>
    <t>PRJ-344</t>
  </si>
  <si>
    <t>PRJ-345</t>
  </si>
  <si>
    <t>PRJ-346</t>
  </si>
  <si>
    <t>PRJ-347</t>
  </si>
  <si>
    <t>PRJ-348</t>
  </si>
  <si>
    <t>PRJ-349</t>
  </si>
  <si>
    <t>PRJ-350</t>
  </si>
  <si>
    <t>PRJ-351</t>
  </si>
  <si>
    <t>PRJ-352</t>
  </si>
  <si>
    <t>PRJ-353</t>
  </si>
  <si>
    <t>PRJ-354</t>
  </si>
  <si>
    <t>PRJ-355</t>
  </si>
  <si>
    <t>PRJ-356</t>
  </si>
  <si>
    <t>PRJ-357</t>
  </si>
  <si>
    <t>PRJ-358</t>
  </si>
  <si>
    <t>PRJ-359</t>
  </si>
  <si>
    <t>PRJ-360</t>
  </si>
  <si>
    <t>PRJ-361</t>
  </si>
  <si>
    <t>PRJ-362</t>
  </si>
  <si>
    <t>PRJ-363</t>
  </si>
  <si>
    <t>PRJ-364</t>
  </si>
  <si>
    <t>PRJ-365</t>
  </si>
  <si>
    <t>PRJ-366</t>
  </si>
  <si>
    <t>PRJ-367</t>
  </si>
  <si>
    <t>PRJ-368</t>
  </si>
  <si>
    <t>PRJ-369</t>
  </si>
  <si>
    <t>PRJ-370</t>
  </si>
  <si>
    <t>PRJ-371</t>
  </si>
  <si>
    <t>PRJ-372</t>
  </si>
  <si>
    <t>PRJ-373</t>
  </si>
  <si>
    <t>PRJ-374</t>
  </si>
  <si>
    <t>PRJ-375</t>
  </si>
  <si>
    <t>PRJ-376</t>
  </si>
  <si>
    <t>PRJ-377</t>
  </si>
  <si>
    <t>PRJ-378</t>
  </si>
  <si>
    <t>PRJ-379</t>
  </si>
  <si>
    <t>PRJ-380</t>
  </si>
  <si>
    <t>PRJ-381</t>
  </si>
  <si>
    <t>PRJ-382</t>
  </si>
  <si>
    <t>PRJ-383</t>
  </si>
  <si>
    <t>PRJ-384</t>
  </si>
  <si>
    <t>PRJ-385</t>
  </si>
  <si>
    <t>PRJ-386</t>
  </si>
  <si>
    <t>PRJ-387</t>
  </si>
  <si>
    <t>PRJ-388</t>
  </si>
  <si>
    <t>PRJ-389</t>
  </si>
  <si>
    <t>PRJ-390</t>
  </si>
  <si>
    <t>PRJ-391</t>
  </si>
  <si>
    <t>PRJ-392</t>
  </si>
  <si>
    <t>PRJ-393</t>
  </si>
  <si>
    <t>PRJ-394</t>
  </si>
  <si>
    <t>PRJ-395</t>
  </si>
  <si>
    <t>PRJ-396</t>
  </si>
  <si>
    <t>PRJ-397</t>
  </si>
  <si>
    <t>PRJ-398</t>
  </si>
  <si>
    <t>PRJ-399</t>
  </si>
  <si>
    <t>PRJ-400</t>
  </si>
  <si>
    <t>PRJ-401</t>
  </si>
  <si>
    <t>PRJ-402</t>
  </si>
  <si>
    <t>PRJ-403</t>
  </si>
  <si>
    <t>PRJ-404</t>
  </si>
  <si>
    <t>PRJ-405</t>
  </si>
  <si>
    <t>PRJ-406</t>
  </si>
  <si>
    <t>PRJ-407</t>
  </si>
  <si>
    <t>PRJ-408</t>
  </si>
  <si>
    <t>PRJ-409</t>
  </si>
  <si>
    <t>PRJ-410</t>
  </si>
  <si>
    <t>PRJ-411</t>
  </si>
  <si>
    <t>PRJ-412</t>
  </si>
  <si>
    <t>PRJ-413</t>
  </si>
  <si>
    <t>PRJ-414</t>
  </si>
  <si>
    <t>PRJ-415</t>
  </si>
  <si>
    <t>PRJ-416</t>
  </si>
  <si>
    <t>PRJ-417</t>
  </si>
  <si>
    <t>PRJ-418</t>
  </si>
  <si>
    <t>PRJ-419</t>
  </si>
  <si>
    <t>PRJ-420</t>
  </si>
  <si>
    <t>PRJ-421</t>
  </si>
  <si>
    <t>PRJ-422</t>
  </si>
  <si>
    <t>PRJ-423</t>
  </si>
  <si>
    <t>PRJ-424</t>
  </si>
  <si>
    <t>PRJ-425</t>
  </si>
  <si>
    <t>PRJ-426</t>
  </si>
  <si>
    <t>PRJ-427</t>
  </si>
  <si>
    <t>PRJ-428</t>
  </si>
  <si>
    <t>PRJ-429</t>
  </si>
  <si>
    <t>PRJ-430</t>
  </si>
  <si>
    <t>PRJ-431</t>
  </si>
  <si>
    <t>PRJ-432</t>
  </si>
  <si>
    <t>PRJ-433</t>
  </si>
  <si>
    <t>PRJ-434</t>
  </si>
  <si>
    <t>PRJ-435</t>
  </si>
  <si>
    <t>PRJ-436</t>
  </si>
  <si>
    <t>PRJ-437</t>
  </si>
  <si>
    <t>PRJ-438</t>
  </si>
  <si>
    <t>PRJ-439</t>
  </si>
  <si>
    <t>PRJ-440</t>
  </si>
  <si>
    <t>PRJ-441</t>
  </si>
  <si>
    <t>PRJ-442</t>
  </si>
  <si>
    <t>PRJ-443</t>
  </si>
  <si>
    <t>PRJ-444</t>
  </si>
  <si>
    <t>PRJ-445</t>
  </si>
  <si>
    <t>PRJ-446</t>
  </si>
  <si>
    <t>PRJ-447</t>
  </si>
  <si>
    <t>PRJ-448</t>
  </si>
  <si>
    <t>PRJ-449</t>
  </si>
  <si>
    <t>PRJ-450</t>
  </si>
  <si>
    <t>PRJ-451</t>
  </si>
  <si>
    <t>PRJ-452</t>
  </si>
  <si>
    <t>PRJ-453</t>
  </si>
  <si>
    <t>PRJ-454</t>
  </si>
  <si>
    <t>PRJ-455</t>
  </si>
  <si>
    <t>PRJ-456</t>
  </si>
  <si>
    <t>PRJ-457</t>
  </si>
  <si>
    <t>PRJ-458</t>
  </si>
  <si>
    <t>PRJ-459</t>
  </si>
  <si>
    <t>PRJ-460</t>
  </si>
  <si>
    <t>PRJ-461</t>
  </si>
  <si>
    <t>PRJ-462</t>
  </si>
  <si>
    <t>PRJ-463</t>
  </si>
  <si>
    <t>PRJ-464</t>
  </si>
  <si>
    <t>PRJ-465</t>
  </si>
  <si>
    <t>PRJ-466</t>
  </si>
  <si>
    <t>PRJ-467</t>
  </si>
  <si>
    <t>PRJ-468</t>
  </si>
  <si>
    <t>PRJ-469</t>
  </si>
  <si>
    <t>PRJ-470</t>
  </si>
  <si>
    <t>PRJ-471</t>
  </si>
  <si>
    <t>PRJ-472</t>
  </si>
  <si>
    <t>PRJ-473</t>
  </si>
  <si>
    <t>PRJ-474</t>
  </si>
  <si>
    <t>PRJ-475</t>
  </si>
  <si>
    <t>PRJ-476</t>
  </si>
  <si>
    <t>PRJ-477</t>
  </si>
  <si>
    <t>PRJ-478</t>
  </si>
  <si>
    <t>PRJ-479</t>
  </si>
  <si>
    <t>PRJ-480</t>
  </si>
  <si>
    <t>PRJ-481</t>
  </si>
  <si>
    <t>PRJ-482</t>
  </si>
  <si>
    <t>PRJ-483</t>
  </si>
  <si>
    <t>PRJ-484</t>
  </si>
  <si>
    <t>PRJ-485</t>
  </si>
  <si>
    <t>PRJ-486</t>
  </si>
  <si>
    <t>PRJ-487</t>
  </si>
  <si>
    <t>PRJ-488</t>
  </si>
  <si>
    <t>PRJ-489</t>
  </si>
  <si>
    <t>PRJ-490</t>
  </si>
  <si>
    <t>PRJ-491</t>
  </si>
  <si>
    <t>PRJ-492</t>
  </si>
  <si>
    <t>PRJ-493</t>
  </si>
  <si>
    <t>PRJ-494</t>
  </si>
  <si>
    <t>PRJ-495</t>
  </si>
  <si>
    <t>PRJ-496</t>
  </si>
  <si>
    <t>PRJ-497</t>
  </si>
  <si>
    <t>PRJ-498</t>
  </si>
  <si>
    <t>PRJ-499</t>
  </si>
  <si>
    <t>PRJ-500</t>
  </si>
  <si>
    <t>data_referencia</t>
  </si>
  <si>
    <t>horas</t>
  </si>
  <si>
    <t>cost_at_time</t>
  </si>
  <si>
    <t>TS-001</t>
  </si>
  <si>
    <t>TS-002</t>
  </si>
  <si>
    <t>TS-003</t>
  </si>
  <si>
    <t>TS-004</t>
  </si>
  <si>
    <t>TS-005</t>
  </si>
  <si>
    <t>TS-006</t>
  </si>
  <si>
    <t>TS-007</t>
  </si>
  <si>
    <t>TS-008</t>
  </si>
  <si>
    <t>TS-009</t>
  </si>
  <si>
    <t>TS-010</t>
  </si>
  <si>
    <t>TS-011</t>
  </si>
  <si>
    <t>TS-012</t>
  </si>
  <si>
    <t>TS-013</t>
  </si>
  <si>
    <t>TS-014</t>
  </si>
  <si>
    <t>TS-015</t>
  </si>
  <si>
    <t>TS-016</t>
  </si>
  <si>
    <t>TS-017</t>
  </si>
  <si>
    <t>TS-018</t>
  </si>
  <si>
    <t>TS-019</t>
  </si>
  <si>
    <t>TS-020</t>
  </si>
  <si>
    <t>TS-021</t>
  </si>
  <si>
    <t>TS-022</t>
  </si>
  <si>
    <t>TS-023</t>
  </si>
  <si>
    <t>TS-024</t>
  </si>
  <si>
    <t>TS-025</t>
  </si>
  <si>
    <t>TS-026</t>
  </si>
  <si>
    <t>TS-027</t>
  </si>
  <si>
    <t>TS-028</t>
  </si>
  <si>
    <t>TS-029</t>
  </si>
  <si>
    <t>TS-030</t>
  </si>
  <si>
    <t>TS-031</t>
  </si>
  <si>
    <t>TS-032</t>
  </si>
  <si>
    <t>TS-033</t>
  </si>
  <si>
    <t>TS-034</t>
  </si>
  <si>
    <t>TS-035</t>
  </si>
  <si>
    <t>TS-036</t>
  </si>
  <si>
    <t>TS-037</t>
  </si>
  <si>
    <t>TS-038</t>
  </si>
  <si>
    <t>TS-039</t>
  </si>
  <si>
    <t>TS-040</t>
  </si>
  <si>
    <t>TS-041</t>
  </si>
  <si>
    <t>TS-042</t>
  </si>
  <si>
    <t>TS-043</t>
  </si>
  <si>
    <t>TS-044</t>
  </si>
  <si>
    <t>TS-045</t>
  </si>
  <si>
    <t>TS-046</t>
  </si>
  <si>
    <t>TS-047</t>
  </si>
  <si>
    <t>TS-048</t>
  </si>
  <si>
    <t>TS-049</t>
  </si>
  <si>
    <t>TS-050</t>
  </si>
  <si>
    <t>TS-051</t>
  </si>
  <si>
    <t>TS-052</t>
  </si>
  <si>
    <t>TS-053</t>
  </si>
  <si>
    <t>TS-054</t>
  </si>
  <si>
    <t>TS-055</t>
  </si>
  <si>
    <t>TS-056</t>
  </si>
  <si>
    <t>TS-057</t>
  </si>
  <si>
    <t>TS-058</t>
  </si>
  <si>
    <t>TS-059</t>
  </si>
  <si>
    <t>TS-060</t>
  </si>
  <si>
    <t>DICIONÁRIO DE DADOS — NID DELP BI</t>
  </si>
  <si>
    <t>ABA</t>
  </si>
  <si>
    <t>COLUNA</t>
  </si>
  <si>
    <t>TIPO</t>
  </si>
  <si>
    <t>DESCRIÇÃO</t>
  </si>
  <si>
    <t>projetos</t>
  </si>
  <si>
    <t>Texto</t>
  </si>
  <si>
    <t>Chave primária. Padrão: PRJ-001, PRJ-002...</t>
  </si>
  <si>
    <t>Nome completo do projeto</t>
  </si>
  <si>
    <t>Dados / Software / IA / Automações / Melhoria ERP / Software ERP</t>
  </si>
  <si>
    <t>backlog / em_andamento / concluido / bloqueado / cancelado</t>
  </si>
  <si>
    <t>Inteiro</t>
  </si>
  <si>
    <t>1 = projeto interno (backoffice) | 0 = estratégico Core Business</t>
  </si>
  <si>
    <t>owner</t>
  </si>
  <si>
    <t>Responsável técnico / facilitador do projeto (membro do NID)</t>
  </si>
  <si>
    <t>Sponsor executivo que aprovou e financia o projeto</t>
  </si>
  <si>
    <t>1 = Alta | 2 = Média | 3 = Baixa</t>
  </si>
  <si>
    <t>data_inicio / data_fim</t>
  </si>
  <si>
    <t>Data</t>
  </si>
  <si>
    <t>Planejado. Formato DD/MM/AAAA</t>
  </si>
  <si>
    <t>data_inicio_real / data_fim_real</t>
  </si>
  <si>
    <t>Realizado. Deixar vazio enquanto não ocorrer</t>
  </si>
  <si>
    <t>0 a 100 — percentual atual de conclusão do projeto</t>
  </si>
  <si>
    <t>Decimal R$</t>
  </si>
  <si>
    <t>Investimento total único do projeto em R$</t>
  </si>
  <si>
    <t>Custo operacional MENSAL recorrente em R$</t>
  </si>
  <si>
    <t>budget_capex / budget_opex</t>
  </si>
  <si>
    <t>Orçamento aprovado: CAPEX total | OPEX mensal</t>
  </si>
  <si>
    <t>spent_capex / spent_opex</t>
  </si>
  <si>
    <t>Realizado até hoje. NUNCA deve exceder o budget</t>
  </si>
  <si>
    <t>Decimal</t>
  </si>
  <si>
    <t>ROI esperado. Ex: 1.80 = 80% de retorno sobre o investimento</t>
  </si>
  <si>
    <t>Meses estimados para retorno total do investimento</t>
  </si>
  <si>
    <t>aprovar / revisar / pausar / cancelar</t>
  </si>
  <si>
    <t>membros_nucleo</t>
  </si>
  <si>
    <t>Chave primária. Padrão: MBR-001...</t>
  </si>
  <si>
    <t>1 = ativo no núcleo | 0 = inativo</t>
  </si>
  <si>
    <t>Capacidade mensal total em horas (padrão: 160h)</t>
  </si>
  <si>
    <t>Custo R$/hora do membro. Dado sensível.</t>
  </si>
  <si>
    <t>timesheets</t>
  </si>
  <si>
    <t>Chave primária do apontamento. Padrão: TS-001...</t>
  </si>
  <si>
    <t>FK → membros_nucleo.id</t>
  </si>
  <si>
    <t>FK → projetos.id</t>
  </si>
  <si>
    <t>Primeiro dia da semana de referência do apontamento</t>
  </si>
  <si>
    <t>Horas trabalhadas naquela semana naquele projeto</t>
  </si>
  <si>
    <t>CÓPIA do custo/hora no momento — nunca referência viva</t>
  </si>
  <si>
    <t>alocacoes</t>
  </si>
  <si>
    <t>Chave primária. Padrão: ALO-001...</t>
  </si>
  <si>
    <t>Horas planejadas por semana neste projeto</t>
  </si>
  <si>
    <t>Período da alocação planejada</t>
  </si>
  <si>
    <t>1 = alocação vigente | 0 = encerrada</t>
  </si>
  <si>
    <t>RELACIONAMENTOS POWER BI</t>
  </si>
  <si>
    <t>projetos[id] → timesheets[projeto_id]</t>
  </si>
  <si>
    <t>1:*</t>
  </si>
  <si>
    <t>Single direction — dimensão filtra fato</t>
  </si>
  <si>
    <t>projetos[id] → alocacoes[projeto_id]</t>
  </si>
  <si>
    <t>membros_nucleo[id] → timesheets[membro_id]</t>
  </si>
  <si>
    <t>membros_nucleo[id] → alocacoes[membro_id]</t>
  </si>
  <si>
    <t>REGRAS DE INTEGRIDADE</t>
  </si>
  <si>
    <t>spent_capex ≤ budget_capex</t>
  </si>
  <si>
    <t>Regra de negócio</t>
  </si>
  <si>
    <t>Violação gera alerta de estouro orçamentário no BI</t>
  </si>
  <si>
    <t>Soma horas/semana por membro ≤ 40h</t>
  </si>
  <si>
    <t>Sobrecarga gera alerta de capacidade no BI</t>
  </si>
  <si>
    <t>Projetos 'backlog' sem timesheets</t>
  </si>
  <si>
    <t>Projeto não iniciado não gera horas reais</t>
  </si>
  <si>
    <t>cost_at_time = snapshot histórico</t>
  </si>
  <si>
    <t>Regra de dado</t>
  </si>
  <si>
    <t>Nunca atualizar retroativamente ao mudar custo/hora</t>
  </si>
  <si>
    <t>Sistema Multi-Agêntico Delp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</si>
</sst>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\R\$\ #,##0.00"/>
    <numFmt numFmtId="165" formatCode="0.0&quot;h&quot;"/>
    <numFmt numFmtId="166" formatCode="0.0&quot;h/sem&quot;"/>
    <numFmt numFmtId="167" formatCode="0.0"/>
  </numFmts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color rgb="FF333333"/>
      <name val="Arial"/>
    </font>
    <font>
      <b/>
      <sz val="14"/>
      <color rgb="FFFFFFFF"/>
      <name val="Arial"/>
    </font>
    <font>
      <b/>
      <sz val="9"/>
      <color rgb="FFC8102E"/>
      <name val="Arial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FFFF"/>
      <name val="Arial"/>
      <family val="2"/>
    </font>
    <font>
      <sz val="9"/>
      <color rgb="FF333333"/>
      <name val="Arial"/>
      <family val="2"/>
    </font>
    <font>
      <sz val="11"/>
      <color theme="1"/>
      <name val="Segoe UI"/>
      <family val="2"/>
    </font>
    <font>
      <b/>
      <sz val="8"/>
      <color rgb="FFFFFFFF"/>
      <name val="Arial"/>
      <family val="2"/>
    </font>
    <font>
      <u/>
      <sz val="9"/>
      <color rgb="FF33333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8102E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A00D2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/>
      <right style="thin">
        <color rgb="FFDDDDDD"/>
      </right>
      <top/>
      <bottom style="thin">
        <color rgb="FFA00D24"/>
      </bottom>
      <diagonal/>
    </border>
    <border>
      <left/>
      <right style="thin">
        <color rgb="FFEEEEEE"/>
      </right>
      <top/>
      <bottom style="thin">
        <color rgb="FFEEEEEE"/>
      </bottom>
      <diagonal/>
    </border>
    <border>
      <left/>
      <right/>
      <top/>
      <bottom style="thin">
        <color rgb="FFEEEEEE"/>
      </bottom>
      <diagonal/>
    </border>
    <border>
      <left/>
      <right style="thin">
        <color rgb="FFDDDDDD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rgb="FFDDDDDD"/>
      </left>
      <right style="thin">
        <color rgb="FFDDDDDD"/>
      </right>
      <top/>
      <bottom style="thin">
        <color rgb="FFA00D24"/>
      </bottom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6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14" fontId="2" fillId="3" borderId="2" xfId="0" applyNumberFormat="1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164" fontId="2" fillId="4" borderId="2" xfId="0" applyNumberFormat="1" applyFont="1" applyFill="1" applyBorder="1" applyAlignment="1">
      <alignment horizontal="left" vertical="center"/>
    </xf>
    <xf numFmtId="14" fontId="2" fillId="4" borderId="2" xfId="0" applyNumberFormat="1" applyFont="1" applyFill="1" applyBorder="1" applyAlignment="1">
      <alignment horizontal="left" vertical="center"/>
    </xf>
    <xf numFmtId="165" fontId="2" fillId="3" borderId="2" xfId="0" applyNumberFormat="1" applyFont="1" applyFill="1" applyBorder="1" applyAlignment="1">
      <alignment horizontal="left" vertical="center"/>
    </xf>
    <xf numFmtId="165" fontId="2" fillId="4" borderId="2" xfId="0" applyNumberFormat="1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" fontId="0" fillId="0" borderId="0" xfId="0" applyNumberFormat="1"/>
    <xf numFmtId="0" fontId="8" fillId="0" borderId="0" xfId="0" applyFont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14" fontId="2" fillId="7" borderId="2" xfId="0" applyNumberFormat="1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left" vertical="center"/>
    </xf>
    <xf numFmtId="166" fontId="2" fillId="7" borderId="5" xfId="0" applyNumberFormat="1" applyFont="1" applyFill="1" applyBorder="1" applyAlignment="1">
      <alignment horizontal="left" vertical="center"/>
    </xf>
    <xf numFmtId="14" fontId="2" fillId="7" borderId="5" xfId="0" applyNumberFormat="1" applyFont="1" applyFill="1" applyBorder="1" applyAlignment="1">
      <alignment horizontal="left" vertical="center"/>
    </xf>
    <xf numFmtId="0" fontId="0" fillId="7" borderId="5" xfId="0" applyFill="1" applyBorder="1"/>
    <xf numFmtId="0" fontId="0" fillId="0" borderId="5" xfId="0" applyBorder="1"/>
    <xf numFmtId="0" fontId="8" fillId="7" borderId="5" xfId="0" applyFont="1" applyFill="1" applyBorder="1" applyAlignment="1">
      <alignment horizontal="left" vertical="center"/>
    </xf>
    <xf numFmtId="164" fontId="2" fillId="7" borderId="5" xfId="0" applyNumberFormat="1" applyFont="1" applyFill="1" applyBorder="1" applyAlignment="1">
      <alignment horizontal="left" vertical="center"/>
    </xf>
    <xf numFmtId="0" fontId="9" fillId="0" borderId="6" xfId="0" applyFont="1" applyBorder="1" applyAlignment="1">
      <alignment vertical="center" wrapText="1"/>
    </xf>
    <xf numFmtId="44" fontId="9" fillId="0" borderId="6" xfId="1" applyFont="1" applyBorder="1" applyAlignment="1">
      <alignment horizontal="right" vertical="center" wrapText="1"/>
    </xf>
    <xf numFmtId="44" fontId="0" fillId="0" borderId="0" xfId="1" applyFont="1"/>
    <xf numFmtId="44" fontId="1" fillId="2" borderId="1" xfId="1" applyFont="1" applyFill="1" applyBorder="1" applyAlignment="1">
      <alignment horizontal="center" vertical="center" wrapText="1"/>
    </xf>
    <xf numFmtId="44" fontId="2" fillId="7" borderId="2" xfId="1" applyFont="1" applyFill="1" applyBorder="1" applyAlignment="1">
      <alignment horizontal="left" vertical="center"/>
    </xf>
    <xf numFmtId="43" fontId="1" fillId="2" borderId="1" xfId="2" applyFont="1" applyFill="1" applyBorder="1" applyAlignment="1">
      <alignment horizontal="center" vertical="center" wrapText="1"/>
    </xf>
    <xf numFmtId="43" fontId="2" fillId="7" borderId="2" xfId="2" applyFont="1" applyFill="1" applyBorder="1" applyAlignment="1">
      <alignment horizontal="left" vertical="center"/>
    </xf>
    <xf numFmtId="43" fontId="0" fillId="0" borderId="0" xfId="2" applyFont="1"/>
    <xf numFmtId="14" fontId="0" fillId="7" borderId="5" xfId="0" applyNumberFormat="1" applyFill="1" applyBorder="1"/>
    <xf numFmtId="14" fontId="0" fillId="0" borderId="5" xfId="0" applyNumberFormat="1" applyBorder="1"/>
    <xf numFmtId="2" fontId="9" fillId="0" borderId="6" xfId="1" applyNumberFormat="1" applyFont="1" applyBorder="1" applyAlignment="1">
      <alignment horizontal="right" vertical="center" wrapText="1"/>
    </xf>
    <xf numFmtId="14" fontId="8" fillId="7" borderId="2" xfId="0" applyNumberFormat="1" applyFont="1" applyFill="1" applyBorder="1" applyAlignment="1">
      <alignment horizontal="left" vertical="center"/>
    </xf>
    <xf numFmtId="43" fontId="8" fillId="7" borderId="2" xfId="2" applyFont="1" applyFill="1" applyBorder="1" applyAlignment="1">
      <alignment horizontal="left" vertical="center"/>
    </xf>
    <xf numFmtId="44" fontId="8" fillId="7" borderId="2" xfId="1" applyFont="1" applyFill="1" applyBorder="1" applyAlignment="1">
      <alignment horizontal="left" vertical="center"/>
    </xf>
    <xf numFmtId="167" fontId="2" fillId="7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2" fontId="8" fillId="7" borderId="2" xfId="0" applyNumberFormat="1" applyFont="1" applyFill="1" applyBorder="1" applyAlignment="1">
      <alignment horizontal="left" vertical="center"/>
    </xf>
    <xf numFmtId="2" fontId="2" fillId="7" borderId="2" xfId="0" applyNumberFormat="1" applyFont="1" applyFill="1" applyBorder="1" applyAlignment="1">
      <alignment horizontal="left" vertical="center"/>
    </xf>
    <xf numFmtId="2" fontId="8" fillId="7" borderId="2" xfId="2" applyNumberFormat="1" applyFont="1" applyFill="1" applyBorder="1" applyAlignment="1">
      <alignment horizontal="left" vertical="center"/>
    </xf>
    <xf numFmtId="2" fontId="2" fillId="7" borderId="2" xfId="2" applyNumberFormat="1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167" fontId="8" fillId="7" borderId="2" xfId="0" applyNumberFormat="1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 wrapText="1"/>
    </xf>
    <xf numFmtId="44" fontId="9" fillId="0" borderId="6" xfId="1" applyFont="1" applyBorder="1" applyAlignment="1" applyProtection="1">
      <alignment horizontal="right" vertical="center" wrapText="1"/>
    </xf>
    <xf numFmtId="8" fontId="2" fillId="8" borderId="2" xfId="0" applyNumberFormat="1" applyFont="1" applyFill="1" applyBorder="1"/>
    <xf numFmtId="44" fontId="8" fillId="7" borderId="2" xfId="0" applyNumberFormat="1" applyFont="1" applyFill="1" applyBorder="1" applyAlignment="1">
      <alignment horizontal="left" vertical="center"/>
    </xf>
    <xf numFmtId="8" fontId="2" fillId="7" borderId="2" xfId="1" applyNumberFormat="1" applyFont="1" applyFill="1" applyBorder="1" applyAlignment="1">
      <alignment horizontal="left" vertical="center"/>
    </xf>
    <xf numFmtId="0" fontId="11" fillId="7" borderId="2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0" fillId="0" borderId="0" xfId="0"/>
    <xf numFmtId="0" fontId="1" fillId="5" borderId="0" xfId="0" applyFont="1" applyFill="1" applyAlignment="1">
      <alignment horizontal="left" vertical="center"/>
    </xf>
  </cellXfs>
  <cellStyles count="3">
    <cellStyle name="Moeda" xfId="1" builtinId="4"/>
    <cellStyle name="Normal" xfId="0" builtinId="0"/>
    <cellStyle name="Vírgula" xfId="2" builtinId="3"/>
  </cellStyles>
  <dxfs count="197">
    <dxf>
      <font>
        <b/>
        <i val="0"/>
      </font>
      <fill>
        <patternFill>
          <bgColor rgb="FF92D05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rgb="FFFEFDDF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99"/>
        </patternFill>
      </fill>
    </dxf>
    <dxf>
      <fill>
        <patternFill>
          <bgColor theme="0" tint="-0.24994659260841701"/>
        </patternFill>
      </fill>
    </dxf>
    <dxf>
      <fill>
        <patternFill>
          <bgColor rgb="FFF8A59A"/>
        </patternFill>
      </fill>
    </dxf>
    <dxf>
      <fill>
        <patternFill>
          <bgColor theme="0" tint="-0.14996795556505021"/>
        </patternFill>
      </fill>
    </dxf>
    <dxf>
      <fill>
        <patternFill>
          <bgColor rgb="FFFF7575"/>
        </patternFill>
      </fill>
    </dxf>
    <dxf>
      <fill>
        <patternFill>
          <bgColor rgb="FFF8A59A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79998168889431442"/>
        </patternFill>
      </fill>
    </dxf>
    <dxf>
      <fill>
        <patternFill>
          <bgColor rgb="FFFEFDDF"/>
        </patternFill>
      </fill>
    </dxf>
    <dxf>
      <fill>
        <patternFill>
          <bgColor rgb="FFFFFF99"/>
        </patternFill>
      </fill>
    </dxf>
    <dxf>
      <fill>
        <patternFill>
          <bgColor theme="2" tint="-9.9948118533890809E-2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7575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8A59A"/>
        </patternFill>
      </fill>
    </dxf>
    <dxf>
      <fill>
        <patternFill>
          <bgColor rgb="FFFEFDDF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9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rgb="FFFF7575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theme="6" tint="0.59996337778862885"/>
        </patternFill>
      </fill>
    </dxf>
    <dxf>
      <fill>
        <patternFill>
          <bgColor rgb="FFFF7575"/>
        </patternFill>
      </fill>
    </dxf>
    <dxf>
      <fill>
        <patternFill>
          <bgColor theme="0" tint="-0.14996795556505021"/>
        </patternFill>
      </fill>
    </dxf>
    <dxf>
      <fill>
        <patternFill>
          <bgColor rgb="FFF8A59A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rgb="FFFEFDDF"/>
        </patternFill>
      </fill>
    </dxf>
    <dxf>
      <fill>
        <patternFill>
          <bgColor theme="8" tint="0.79998168889431442"/>
        </patternFill>
      </fill>
    </dxf>
    <dxf>
      <fill>
        <patternFill>
          <bgColor rgb="FFFFFF99"/>
        </patternFill>
      </fill>
    </dxf>
    <dxf>
      <fill>
        <patternFill>
          <bgColor theme="6" tint="0.39994506668294322"/>
        </patternFill>
      </fill>
    </dxf>
    <dxf>
      <fill>
        <patternFill>
          <bgColor rgb="FFF8A59A"/>
        </patternFill>
      </fill>
    </dxf>
    <dxf>
      <fill>
        <patternFill>
          <bgColor theme="0" tint="-0.24994659260841701"/>
        </patternFill>
      </fill>
    </dxf>
    <dxf>
      <fill>
        <patternFill>
          <bgColor rgb="FFFFFF99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9.9948118533890809E-2"/>
        </patternFill>
      </fill>
    </dxf>
    <dxf>
      <fill>
        <patternFill>
          <bgColor rgb="FFFEFDDF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theme="6" tint="0.59996337778862885"/>
        </patternFill>
      </fill>
    </dxf>
    <dxf>
      <fill>
        <patternFill>
          <bgColor rgb="FFFF7575"/>
        </patternFill>
      </fill>
    </dxf>
    <dxf>
      <fill>
        <patternFill>
          <bgColor rgb="FFF8A59A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rgb="FFFEFDDF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9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rgb="FFFF7575"/>
        </patternFill>
      </fill>
    </dxf>
    <dxf>
      <fill>
        <patternFill>
          <bgColor theme="0" tint="-0.24994659260841701"/>
        </patternFill>
      </fill>
    </dxf>
    <dxf>
      <fill>
        <patternFill>
          <bgColor rgb="FFF8A59A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7575"/>
        </patternFill>
      </fill>
    </dxf>
    <dxf>
      <fill>
        <patternFill>
          <bgColor theme="2" tint="-9.9948118533890809E-2"/>
        </patternFill>
      </fill>
    </dxf>
    <dxf>
      <fill>
        <patternFill>
          <bgColor rgb="FFFEFDDF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theme="8" tint="0.79998168889431442"/>
        </patternFill>
      </fill>
    </dxf>
    <dxf>
      <fill>
        <patternFill>
          <bgColor rgb="FFFF7575"/>
        </patternFill>
      </fill>
    </dxf>
    <dxf>
      <fill>
        <patternFill>
          <bgColor rgb="FFFFFF99"/>
        </patternFill>
      </fill>
    </dxf>
    <dxf>
      <fill>
        <patternFill>
          <bgColor theme="0" tint="-0.14996795556505021"/>
        </patternFill>
      </fill>
    </dxf>
    <dxf>
      <fill>
        <patternFill>
          <bgColor rgb="FFF8A59A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theme="6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EFDDF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FEFDDF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FF7575"/>
        </patternFill>
      </fill>
    </dxf>
    <dxf>
      <fill>
        <patternFill>
          <bgColor rgb="FFF8A59A"/>
        </patternFill>
      </fill>
    </dxf>
    <dxf>
      <fill>
        <patternFill>
          <bgColor theme="0" tint="-0.24994659260841701"/>
        </patternFill>
      </fill>
    </dxf>
    <dxf>
      <fill>
        <patternFill>
          <bgColor rgb="FFFFFF99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rgb="FFFEFDDF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99"/>
        </patternFill>
      </fill>
    </dxf>
    <dxf>
      <fill>
        <patternFill>
          <bgColor rgb="FFF8A59A"/>
        </patternFill>
      </fill>
    </dxf>
    <dxf>
      <fill>
        <patternFill>
          <bgColor theme="0" tint="-0.14996795556505021"/>
        </patternFill>
      </fill>
    </dxf>
    <dxf>
      <fill>
        <patternFill>
          <bgColor rgb="FFFF7575"/>
        </patternFill>
      </fill>
    </dxf>
    <dxf>
      <fill>
        <patternFill>
          <bgColor theme="0" tint="-0.24994659260841701"/>
        </patternFill>
      </fill>
    </dxf>
    <dxf>
      <fill>
        <patternFill>
          <bgColor rgb="FFFFFF99"/>
        </patternFill>
      </fill>
    </dxf>
    <dxf>
      <fill>
        <patternFill>
          <bgColor theme="2" tint="-9.9948118533890809E-2"/>
        </patternFill>
      </fill>
    </dxf>
    <dxf>
      <fill>
        <patternFill>
          <bgColor rgb="FFFEFDDF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7575"/>
        </patternFill>
      </fill>
    </dxf>
    <dxf>
      <fill>
        <patternFill>
          <bgColor theme="0" tint="-0.14996795556505021"/>
        </patternFill>
      </fill>
    </dxf>
    <dxf>
      <fill>
        <patternFill>
          <bgColor rgb="FFF8A59A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numFmt numFmtId="19" formatCode="dd/mm/yyyy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numFmt numFmtId="19" formatCode="dd/mm/yyyy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numFmt numFmtId="0" formatCode="General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 outline="0">
        <bottom style="thin">
          <color rgb="FFA00D2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C8102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/>
        <bottom/>
      </border>
    </dxf>
    <dxf>
      <fill>
        <patternFill>
          <fgColor indexed="64"/>
          <bgColor theme="0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indexed="64"/>
          <bgColor theme="0"/>
        </patternFill>
      </fill>
    </dxf>
    <dxf>
      <border outline="0">
        <bottom style="thin">
          <color rgb="FFA00D2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C8102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/>
        <bottom/>
      </border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EEEEEE"/>
        </right>
        <top/>
        <bottom style="thin">
          <color rgb="FFEEEE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EEEEEE"/>
        </right>
        <top/>
        <bottom style="thin">
          <color rgb="FFEEEEEE"/>
        </bottom>
        <vertical/>
        <horizontal/>
      </border>
    </dxf>
    <dxf>
      <fill>
        <patternFill>
          <fgColor indexed="64"/>
          <bgColor theme="0"/>
        </patternFill>
      </fill>
      <border outline="0">
        <left style="thin">
          <color rgb="FFEEEEEE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EEEEEE"/>
        </right>
        <top/>
        <bottom style="thin">
          <color rgb="FFEEEEE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 style="thin">
          <color rgb="FFEEEEEE"/>
        </bottom>
      </border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numFmt numFmtId="167" formatCode="0.0"/>
      <fill>
        <patternFill>
          <fgColor indexed="64"/>
          <bgColor theme="0"/>
        </patternFill>
      </fill>
      <alignment horizontal="center" textRotation="0" indent="0" justifyLastLine="0" shrinkToFit="0" readingOrder="0"/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EEEEEE"/>
        </right>
        <top/>
        <bottom style="thin">
          <color rgb="FFEEEEEE"/>
        </bottom>
        <vertical/>
        <horizontal/>
      </border>
    </dxf>
    <dxf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EEEEEE"/>
        </right>
        <top/>
        <bottom style="thin">
          <color rgb="FFEEEEEE"/>
        </bottom>
        <vertical/>
        <horizontal/>
      </border>
    </dxf>
    <dxf>
      <fill>
        <patternFill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>
          <fgColor indexed="64"/>
          <bgColor theme="0"/>
        </patternFill>
      </fill>
      <border outline="0">
        <left style="thin">
          <color rgb="FFEEEEEE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EEEEEE"/>
        </right>
        <top/>
        <bottom style="thin">
          <color rgb="FFEEEEEE"/>
        </bottom>
        <vertical/>
        <horizontal/>
      </border>
    </dxf>
    <dxf>
      <numFmt numFmtId="19" formatCode="dd/mm/yyyy"/>
      <fill>
        <patternFill>
          <fgColor indexed="64"/>
          <bgColor theme="0"/>
        </patternFill>
      </fill>
      <border outline="0">
        <left style="thin">
          <color rgb="FFEEEEEE"/>
        </left>
      </border>
    </dxf>
    <dxf>
      <numFmt numFmtId="19" formatCode="dd/mm/yyyy"/>
      <fill>
        <patternFill>
          <fgColor indexed="64"/>
          <bgColor theme="0"/>
        </patternFill>
      </fill>
      <border outline="0">
        <left style="thin">
          <color rgb="FFEEEEEE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EEEEEE"/>
        </right>
        <top/>
        <bottom style="thin">
          <color rgb="FFEEEEEE"/>
        </bottom>
        <vertical/>
        <horizontal/>
      </border>
    </dxf>
    <dxf>
      <numFmt numFmtId="19" formatCode="dd/mm/yyyy"/>
      <fill>
        <patternFill>
          <fgColor indexed="64"/>
          <bgColor theme="0"/>
        </patternFill>
      </fill>
      <border outline="0">
        <left style="thin">
          <color rgb="FFEEEEEE"/>
        </left>
        <right/>
      </border>
    </dxf>
    <dxf>
      <numFmt numFmtId="19" formatCode="dd/mm/yyyy"/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border outline="0">
        <bottom style="thin">
          <color rgb="FFA00D2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/>
        <bottom/>
      </border>
    </dxf>
  </dxfs>
  <tableStyles count="0" defaultTableStyle="TableStyleMedium9" defaultPivotStyle="PivotStyleLight16"/>
  <colors>
    <mruColors>
      <color rgb="FFFF7575"/>
      <color rgb="FFF68C7E"/>
      <color rgb="FF85FFBC"/>
      <color rgb="FFF4705E"/>
      <color rgb="FFF8A59A"/>
      <color rgb="FFFFFF99"/>
      <color rgb="FFCCCC00"/>
      <color rgb="FFFEFDDF"/>
      <color rgb="FFFFBD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3609DBA-5CEA-46F2-B053-3773E738726C}" autoFormatId="16" applyNumberFormats="0" applyBorderFormats="0" applyFontFormats="0" applyPatternFormats="0" applyAlignmentFormats="0" applyWidthHeightFormats="0">
  <queryTableRefresh nextId="6">
    <queryTableFields count="5">
      <queryTableField id="1" name="CODMO" tableColumnId="1"/>
      <queryTableField id="2" name="NOME" tableColumnId="2"/>
      <queryTableField id="3" name="funcao" tableColumnId="3"/>
      <queryTableField id="4" name="secao" tableColumnId="4"/>
      <queryTableField id="5" name="Contagem" tableColumnId="5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E2C6DC-9D98-4857-99C4-F8395F93C5D7}" name="Tabela2" displayName="Tabela2" ref="A1:AR198" totalsRowShown="0" headerRowDxfId="196" dataDxfId="194" headerRowBorderDxfId="195">
  <autoFilter ref="A1:AR198" xr:uid="{DAE2C6DC-9D98-4857-99C4-F8395F93C5D7}"/>
  <tableColumns count="44">
    <tableColumn id="1" xr3:uid="{6B54AF53-DCE1-4F46-A326-AC2D36F73564}" name="id" dataDxfId="193"/>
    <tableColumn id="2" xr3:uid="{294E28F3-FAAA-4271-9826-38912C2EE2BC}" name="nome" dataDxfId="192"/>
    <tableColumn id="3" xr3:uid="{AE2DA586-4952-4B8A-8B40-76A7D2C86EA6}" name="squad" dataDxfId="191"/>
    <tableColumn id="4" xr3:uid="{FF01832F-5EF8-4F2D-9D50-380EE6A7C15C}" name="status" dataDxfId="190"/>
    <tableColumn id="5" xr3:uid="{CBFAFA72-5F4D-4473-AD59-BF3C95AD0974}" name="ordem_status" dataDxfId="189"/>
    <tableColumn id="6" xr3:uid="{87850D1A-81D9-4B71-97F9-1147B5D9B727}" name="etapa_cronograma" dataDxfId="188"/>
    <tableColumn id="8" xr3:uid="{BF2EFDEC-18E9-45F3-BB87-DF3541433E3F}" name="is_backoffice" dataDxfId="187"/>
    <tableColumn id="32" xr3:uid="{E80ABFE9-3119-4033-8011-1B365C0ACE87}" name="bp" dataDxfId="186"/>
    <tableColumn id="9" xr3:uid="{9EE76FFF-7A38-40C4-BA60-F51C2BA3C993}" name="desenvolvedor" dataDxfId="185"/>
    <tableColumn id="33" xr3:uid="{340FB4C9-C2C0-4EB6-8B37-7D3D2726C170}" name="facilitador" dataDxfId="184"/>
    <tableColumn id="10" xr3:uid="{791C8CA5-F953-463D-9811-D76E0D135F58}" name="sponsor" dataDxfId="183"/>
    <tableColumn id="35" xr3:uid="{AB928F25-7CFD-475B-A08E-6F54AA629A9B}" name="setor" dataDxfId="182"/>
    <tableColumn id="11" xr3:uid="{693A4842-0DE6-48E7-BEE9-D6DF825FAAA2}" name="prioridade" dataDxfId="181"/>
    <tableColumn id="12" xr3:uid="{962EE61F-2B4E-4A0F-B172-E836E277D5A7}" name="data_inicio" dataDxfId="180"/>
    <tableColumn id="13" xr3:uid="{86E78EC4-B109-4179-82C1-5E95AF2332CC}" name="data_fim" dataDxfId="179"/>
    <tableColumn id="21" xr3:uid="{208CB3C7-F06A-4A92-BBE9-66A7D3BA8A6A}" name="duração_prev_dias" dataDxfId="178">
      <calculatedColumnFormula>Tabela2[[#This Row],[data_fim]]-Tabela2[[#This Row],[data_inicio]]</calculatedColumnFormula>
    </tableColumn>
    <tableColumn id="14" xr3:uid="{C52EF592-71D9-41D6-A645-B966D36F3BD7}" name="data_inicio_real" dataDxfId="177"/>
    <tableColumn id="15" xr3:uid="{9EF12967-FDED-49F6-BA14-78361A6FB129}" name="data_fim_real" dataDxfId="176"/>
    <tableColumn id="22" xr3:uid="{964D74D2-CE62-490C-8F0F-B938C2E9D52D}" name="duração_real_dias" dataDxfId="175"/>
    <tableColumn id="16" xr3:uid="{3F7F89A9-6936-4FD8-B619-435F40258C1C}" name="progresso_pct" dataDxfId="174" dataCellStyle="Vírgula"/>
    <tableColumn id="34" xr3:uid="{25456D54-84FC-4A6B-B61E-26D1DBD992E8}" name="observação" dataDxfId="173"/>
    <tableColumn id="17" xr3:uid="{17981B56-F6A6-4E39-A056-05714516FD74}" name="Horas economizadas anuais" dataDxfId="172"/>
    <tableColumn id="36" xr3:uid="{557775CA-A212-4EFC-A97E-2BF1C45263D0}" name="Horas economizadas semana" dataDxfId="171">
      <calculatedColumnFormula>((Tabela2[[#This Row],[Horas economizadas anuais]] / 12) / 4)</calculatedColumnFormula>
    </tableColumn>
    <tableColumn id="18" xr3:uid="{852F9D9F-C4DB-476B-BBCA-ACABC27F41FE}" name="Retorno Previsto $" dataDxfId="170" dataCellStyle="Moeda">
      <calculatedColumnFormula>(_xlfn.XLOOKUP(Tabela2[[#This Row],[setor]],dim_custo_setor_horas!A:A,dim_custo_setor_horas!B:B))*Tabela2[[#This Row],[Horas economizadas anuais]]</calculatedColumnFormula>
    </tableColumn>
    <tableColumn id="7" xr3:uid="{E7F3A69E-B63C-4803-BCBA-B71E0A45E823}" name="Retorno Gerado $" dataDxfId="169" dataCellStyle="Moeda">
      <calculatedColumnFormula>IF(Tabela2[[#This Row],[progresso_pct]]=100,Tabela2[[#This Row],[Retorno Previsto $]],0)</calculatedColumnFormula>
    </tableColumn>
    <tableColumn id="19" xr3:uid="{8C941576-4062-47CA-8476-BEE4D73A8393}" name="capex" dataDxfId="168"/>
    <tableColumn id="20" xr3:uid="{B147738E-435E-41B7-8F84-9FA7F24B4936}" name="opex" dataDxfId="167"/>
    <tableColumn id="23" xr3:uid="{6573EB77-4150-4CE5-9A4A-1EE3566B0EE6}" name="spent_capex" dataDxfId="166"/>
    <tableColumn id="24" xr3:uid="{18E0B976-ED92-4899-A004-DB73BB21B198}" name="spent_opex" dataDxfId="165"/>
    <tableColumn id="25" xr3:uid="{3ABC75E7-74CA-404D-B330-96ADF86AB732}" name="expected_roi" dataDxfId="164">
      <calculatedColumnFormula>IF(Tabela2[[#This Row],[progresso_pct]] = 100,IFERROR((Tabela2[[#This Row],[Retorno Previsto $]]-Tabela2[[#This Row],[spent_capex]])/Tabela2[[#This Row],[spent_capex]]," ")," ")</calculatedColumnFormula>
    </tableColumn>
    <tableColumn id="26" xr3:uid="{C05DEB02-C30E-4F07-A43A-4C0D5BFFC5AA}" name="payback_months" dataDxfId="163"/>
    <tableColumn id="27" xr3:uid="{F0A2B36D-DCBC-4DD2-B2A0-EC07D33319D5}" name="Nota Impacto " dataDxfId="162"/>
    <tableColumn id="28" xr3:uid="{515CAE85-5AB0-4EB9-9B61-4D96840FBAAB}" name="Nota Complexidade" dataDxfId="161"/>
    <tableColumn id="29" xr3:uid="{79C7807B-9BA2-4808-BD19-2F185CD3342E}" name="Nota Valor" dataDxfId="160"/>
    <tableColumn id="30" xr3:uid="{B15DC8EA-9657-4938-8DAF-44AA8D6090C6}" name="descricao" dataDxfId="159"/>
    <tableColumn id="31" xr3:uid="{4DE58FC7-77A4-40EE-8717-692E3B2E6139}" name="nid_recommendation" dataDxfId="158"/>
    <tableColumn id="37" xr3:uid="{CA51CB78-8852-4023-A4A4-E538417EE8A8}" name="Data Pedido PMO" dataDxfId="157"/>
    <tableColumn id="41" xr3:uid="{89D229E6-A8C5-480D-B967-AEB91514F00A}" name="Data Fim PMO" dataDxfId="156"/>
    <tableColumn id="43" xr3:uid="{E0B054C8-436C-4DA4-AA68-4E4F4EF07785}" name="SLA Backlog" dataDxfId="155">
      <calculatedColumnFormula>IFERROR(Tabela2[[#This Row],[Data Fim PMO]]-Tabela2[[#This Row],[Data Pedido PMO]],"")</calculatedColumnFormula>
    </tableColumn>
    <tableColumn id="38" xr3:uid="{4D7A3DAE-32B2-4B96-810E-E57D460FE86F}" name="Data Inicio Prototipagem" dataDxfId="154"/>
    <tableColumn id="42" xr3:uid="{AD021318-5D6D-485A-A1B2-D865843B5640}" name="Data Fim Prototipagem2" dataDxfId="153"/>
    <tableColumn id="45" xr3:uid="{414BC36A-D0F6-4A45-B77A-21EDD9F3EAEA}" name="SLA Prototipagem" dataDxfId="152">
      <calculatedColumnFormula>IF(Tabela2[[#This Row],[Data Fim Prototipagem2]]=0," ",IFERROR(Tabela2[[#This Row],[Data Fim Prototipagem2]]-Tabela2[[#This Row],[Data Inicio Prototipagem]],""))</calculatedColumnFormula>
    </tableColumn>
    <tableColumn id="39" xr3:uid="{ED93C087-BA64-4F51-912D-AD3E9BE935E3}" name="Capex IN" dataDxfId="151"/>
    <tableColumn id="40" xr3:uid="{730F4143-2440-4849-9A5B-FF1A4EF57621}" name="Capex  OUT" dataDxfId="15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DA6B71-6CA0-42EF-A38F-BB32691DE293}" name="Tabela3" displayName="Tabela3" ref="A1:I15" totalsRowShown="0" headerRowDxfId="149" dataDxfId="147" headerRowBorderDxfId="148">
  <autoFilter ref="A1:I15" xr:uid="{82DA6B71-6CA0-42EF-A38F-BB32691DE293}"/>
  <tableColumns count="9">
    <tableColumn id="1" xr3:uid="{DAEE3A8F-1762-4233-9A92-A7C167404F16}" name="id" dataDxfId="146"/>
    <tableColumn id="2" xr3:uid="{7A30CBEA-E211-4D2A-97CB-4305E47A72F3}" name="nome" dataDxfId="145"/>
    <tableColumn id="3" xr3:uid="{611E6468-48C5-4344-84E9-77D671B53226}" name="cargo" dataDxfId="144"/>
    <tableColumn id="9" xr3:uid="{CD3B393F-1711-4DD1-ABE9-161FAE4D6EDD}" name="setor" dataDxfId="143"/>
    <tableColumn id="4" xr3:uid="{2F021E44-B2CE-48D6-B841-4BCE41C777C1}" name="squad" dataDxfId="142"/>
    <tableColumn id="5" xr3:uid="{909C2349-30A2-4BFC-869F-7149DD345AF3}" name="is_active" dataDxfId="141"/>
    <tableColumn id="6" xr3:uid="{93166086-BA76-454D-B000-7651FD6C3BB4}" name="monthly_capacity_hours" dataDxfId="140"/>
    <tableColumn id="7" xr3:uid="{8A1EB59A-3625-4284-94F6-6A3193EEE833}" name="custo_hora" dataDxfId="139"/>
    <tableColumn id="8" xr3:uid="{30976861-123F-4FE3-AE06-C1DD42F8A76E}" name="data_entrada" dataDxfId="138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11070D7-C53B-4856-915E-C0A52B1DDABD}" name="Tabela4" displayName="Tabela4" ref="A1:J57" totalsRowShown="0" headerRowDxfId="137" headerRowBorderDxfId="136">
  <autoFilter ref="A1:J57" xr:uid="{D11070D7-C53B-4856-915E-C0A52B1DDABD}"/>
  <tableColumns count="10">
    <tableColumn id="1" xr3:uid="{5D0209BD-2021-4526-8F7B-3AEF2C002513}" name="id" dataDxfId="135"/>
    <tableColumn id="2" xr3:uid="{86660575-9362-4E6A-8453-A32E0B1FF5D3}" name="membro_id" dataDxfId="134"/>
    <tableColumn id="3" xr3:uid="{B02FF3A6-5ED8-4692-9647-39479E362A43}" name="membro_nome" dataDxfId="133"/>
    <tableColumn id="4" xr3:uid="{A79AF30A-ACF6-4CA2-8603-57DF7154FCB5}" name="projeto_id" dataDxfId="132"/>
    <tableColumn id="5" xr3:uid="{5F18B360-5D40-429C-AABD-F4193348298C}" name="projeto_nome" dataDxfId="131"/>
    <tableColumn id="10" xr3:uid="{76C5B7A2-BF85-46FE-B789-B658FDE87776}" name="squad" dataDxfId="130">
      <calculatedColumnFormula>IF(Tabela4[[#This Row],[projeto_nome]]=0," ",_xlfn.XLOOKUP(Tabela4[[#This Row],[projeto_nome]],projetos!B:B,projetos!C:C))</calculatedColumnFormula>
    </tableColumn>
    <tableColumn id="6" xr3:uid="{7007BF87-7327-4E53-B7F7-293FCB76BC71}" name="horas_por_semana" dataDxfId="129"/>
    <tableColumn id="7" xr3:uid="{C2B28A3F-E1D1-4235-9ECE-091E2E5355AF}" name="data_inicio" dataDxfId="128">
      <calculatedColumnFormula>IF(Tabela4[[#This Row],[projeto_nome]]=0," ",_xlfn.XLOOKUP(Tabela4[[#This Row],[projeto_id]],projetos!A:A,projetos!N:N," "))</calculatedColumnFormula>
    </tableColumn>
    <tableColumn id="8" xr3:uid="{3976AAD0-E104-4CA2-B401-B937D48DCA43}" name="data_fim" dataDxfId="127">
      <calculatedColumnFormula>_xlfn.XLOOKUP(Tabela4[[#This Row],[projeto_id]],projetos!A:A,projetos!O:O," ")</calculatedColumnFormula>
    </tableColumn>
    <tableColumn id="9" xr3:uid="{CA7F6B3E-2E5A-43F8-B5C8-DA5FA6A25B31}" name="is_active" dataDxfId="126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FFF096-4929-4F16-B2C7-80B284B6AF10}" name="DadosPessoaDI" displayName="DadosPessoaDI" ref="A1:E844" tableType="queryTable" totalsRowShown="0">
  <autoFilter ref="A1:E844" xr:uid="{ADFFF096-4929-4F16-B2C7-80B284B6AF10}"/>
  <tableColumns count="5">
    <tableColumn id="1" xr3:uid="{49BC8791-5482-4C81-84E2-3F3007CE76CD}" uniqueName="1" name="CODMO" queryTableFieldId="1" dataDxfId="125"/>
    <tableColumn id="2" xr3:uid="{9B10304A-7646-4548-AEF2-F630618B97E1}" uniqueName="2" name="NOME" queryTableFieldId="2" dataDxfId="124"/>
    <tableColumn id="3" xr3:uid="{74ECD501-1326-4A58-88E8-1B9DB7FD9AC9}" uniqueName="3" name="funcao" queryTableFieldId="3" dataDxfId="123"/>
    <tableColumn id="4" xr3:uid="{84286563-8C67-422D-85E3-63F32E8B977B}" uniqueName="4" name="secao" queryTableFieldId="4" dataDxfId="122"/>
    <tableColumn id="5" xr3:uid="{73EFD1F6-E1AF-43AB-BA79-12F000123173}" uniqueName="5" name="Contagem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98"/>
  <sheetViews>
    <sheetView showGridLines="0" tabSelected="1" topLeftCell="A5" zoomScale="115" zoomScaleNormal="115" workbookViewId="0">
      <pane xSplit="2" topLeftCell="C1" activePane="topRight" state="frozen"/>
      <selection pane="topRight" activeCell="B18" sqref="B18"/>
    </sheetView>
  </sheetViews>
  <sheetFormatPr defaultRowHeight="14.5" x14ac:dyDescent="0.35"/>
  <cols>
    <col min="1" max="1" width="7.453125" bestFit="1" customWidth="1"/>
    <col min="2" max="2" width="32.81640625" bestFit="1" customWidth="1"/>
    <col min="3" max="3" width="14.81640625" customWidth="1"/>
    <col min="4" max="4" width="25.453125" customWidth="1"/>
    <col min="5" max="5" width="12.453125" customWidth="1"/>
    <col min="6" max="6" width="33" customWidth="1"/>
    <col min="7" max="7" width="13.26953125" customWidth="1"/>
    <col min="8" max="8" width="15.54296875" bestFit="1" customWidth="1"/>
    <col min="9" max="9" width="18.1796875" bestFit="1" customWidth="1"/>
    <col min="10" max="10" width="13.81640625" bestFit="1" customWidth="1"/>
    <col min="11" max="11" width="18" customWidth="1"/>
    <col min="12" max="12" width="25.81640625" bestFit="1" customWidth="1"/>
    <col min="13" max="13" width="10.54296875" customWidth="1"/>
    <col min="14" max="15" width="13" customWidth="1"/>
    <col min="16" max="16" width="10.81640625" customWidth="1"/>
    <col min="17" max="17" width="15.81640625" customWidth="1"/>
    <col min="18" max="19" width="13.81640625" customWidth="1"/>
    <col min="20" max="20" width="15.1796875" style="40" customWidth="1"/>
    <col min="21" max="21" width="42.1796875" customWidth="1"/>
    <col min="22" max="22" width="25.81640625" customWidth="1"/>
    <col min="23" max="23" width="20.26953125" customWidth="1"/>
    <col min="24" max="24" width="17.54296875" style="35" customWidth="1"/>
    <col min="25" max="25" width="21.54296875" style="35" customWidth="1"/>
    <col min="26" max="26" width="14" customWidth="1"/>
    <col min="27" max="27" width="12" customWidth="1"/>
    <col min="28" max="28" width="13.26953125" customWidth="1"/>
    <col min="29" max="29" width="12.26953125" customWidth="1"/>
    <col min="30" max="30" width="13.81640625" style="48" customWidth="1"/>
    <col min="31" max="32" width="20.81640625" customWidth="1"/>
    <col min="33" max="33" width="22.1796875" bestFit="1" customWidth="1"/>
    <col min="34" max="34" width="18.81640625" customWidth="1"/>
    <col min="35" max="35" width="47.81640625" bestFit="1" customWidth="1"/>
    <col min="36" max="36" width="22.1796875" customWidth="1"/>
    <col min="37" max="37" width="15.54296875" customWidth="1"/>
    <col min="38" max="39" width="13.81640625" customWidth="1"/>
    <col min="40" max="40" width="14.54296875" customWidth="1"/>
    <col min="41" max="41" width="14.26953125" customWidth="1"/>
    <col min="42" max="44" width="13.81640625" customWidth="1"/>
  </cols>
  <sheetData>
    <row r="1" spans="1:44" ht="30" customHeight="1" x14ac:dyDescent="0.35">
      <c r="A1" s="1" t="s">
        <v>0</v>
      </c>
      <c r="B1" s="1" t="s">
        <v>1</v>
      </c>
      <c r="C1" s="17" t="s">
        <v>2</v>
      </c>
      <c r="D1" s="1" t="s">
        <v>3</v>
      </c>
      <c r="E1" s="17" t="s">
        <v>4</v>
      </c>
      <c r="F1" s="17" t="s">
        <v>5</v>
      </c>
      <c r="G1" s="1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8" t="s">
        <v>19</v>
      </c>
      <c r="U1" s="1" t="s">
        <v>20</v>
      </c>
      <c r="V1" s="1" t="s">
        <v>21</v>
      </c>
      <c r="W1" s="53" t="s">
        <v>22</v>
      </c>
      <c r="X1" s="36" t="s">
        <v>23</v>
      </c>
      <c r="Y1" s="36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5" t="s">
        <v>31</v>
      </c>
      <c r="AG1" s="15" t="s">
        <v>32</v>
      </c>
      <c r="AH1" s="15" t="s">
        <v>33</v>
      </c>
      <c r="AI1" s="1" t="s">
        <v>34</v>
      </c>
      <c r="AJ1" s="1" t="s">
        <v>35</v>
      </c>
      <c r="AK1" s="15" t="s">
        <v>36</v>
      </c>
      <c r="AL1" s="15" t="s">
        <v>37</v>
      </c>
      <c r="AM1" s="15" t="s">
        <v>38</v>
      </c>
      <c r="AN1" s="55" t="s">
        <v>39</v>
      </c>
      <c r="AO1" s="55" t="s">
        <v>40</v>
      </c>
      <c r="AP1" s="15" t="s">
        <v>41</v>
      </c>
      <c r="AQ1" s="55" t="s">
        <v>42</v>
      </c>
      <c r="AR1" s="55" t="s">
        <v>43</v>
      </c>
    </row>
    <row r="2" spans="1:44" x14ac:dyDescent="0.35">
      <c r="A2" s="23" t="s">
        <v>44</v>
      </c>
      <c r="B2" s="23" t="s">
        <v>45</v>
      </c>
      <c r="C2" s="23" t="s">
        <v>46</v>
      </c>
      <c r="D2" s="21" t="s">
        <v>47</v>
      </c>
      <c r="E2" s="23">
        <f>_xlfn.XLOOKUP(D2,validacao_lista!D:D,validacao_lista!E:E)</f>
        <v>8</v>
      </c>
      <c r="F2" s="23" t="s">
        <v>48</v>
      </c>
      <c r="G2" s="23">
        <f>IFERROR(_xlfn.XLOOKUP(Tabela2[[#This Row],[setor]],dim_custo_setor_horas!A:A,dim_custo_setor_horas!C:C)," ")</f>
        <v>0</v>
      </c>
      <c r="H2" s="23" t="s">
        <v>49</v>
      </c>
      <c r="I2" s="23" t="s">
        <v>49</v>
      </c>
      <c r="J2" s="23" t="s">
        <v>50</v>
      </c>
      <c r="K2" s="23" t="s">
        <v>51</v>
      </c>
      <c r="L2" s="23" t="s">
        <v>52</v>
      </c>
      <c r="M2" s="23">
        <v>3</v>
      </c>
      <c r="N2" s="44">
        <v>45992</v>
      </c>
      <c r="O2" s="44">
        <v>46011</v>
      </c>
      <c r="P2" s="49">
        <f>Tabela2[[#This Row],[data_fim]]-Tabela2[[#This Row],[data_inicio]]</f>
        <v>19</v>
      </c>
      <c r="Q2" s="44">
        <v>45992</v>
      </c>
      <c r="R2" s="44">
        <v>46011</v>
      </c>
      <c r="S2" s="44"/>
      <c r="T2" s="45">
        <v>100</v>
      </c>
      <c r="U2" s="23"/>
      <c r="V2" s="23">
        <v>540</v>
      </c>
      <c r="W2" s="51">
        <f>((Tabela2[[#This Row],[Horas economizadas anuais]] / 12) / 4)</f>
        <v>11.25</v>
      </c>
      <c r="X2" s="46">
        <f>(_xlfn.XLOOKUP(Tabela2[[#This Row],[setor]],dim_custo_setor_horas!A:A,dim_custo_setor_horas!B:B))*Tabela2[[#This Row],[Horas economizadas anuais]]</f>
        <v>35299.800000000003</v>
      </c>
      <c r="Y2" s="46">
        <f>IF(Tabela2[[#This Row],[progresso_pct]]=100,Tabela2[[#This Row],[Retorno Previsto $]],0)</f>
        <v>35299.800000000003</v>
      </c>
      <c r="Z2" s="37">
        <f>Tabela2[[#This Row],[duração_prev_dias]]*100</f>
        <v>1900</v>
      </c>
      <c r="AA2" s="46"/>
      <c r="AB2" s="46">
        <v>1900</v>
      </c>
      <c r="AC2" s="46">
        <v>420</v>
      </c>
      <c r="AD2" s="54">
        <f>IF(Tabela2[[#This Row],[progresso_pct]] = 100,IFERROR((Tabela2[[#This Row],[Retorno Previsto $]]-Tabela2[[#This Row],[spent_capex]])/Tabela2[[#This Row],[spent_capex]]," ")," ")</f>
        <v>17.57884210526316</v>
      </c>
      <c r="AE2" s="23">
        <v>16</v>
      </c>
      <c r="AF2" s="23">
        <v>3</v>
      </c>
      <c r="AG2" s="23">
        <v>3</v>
      </c>
      <c r="AH2" s="23">
        <v>3</v>
      </c>
      <c r="AI2" s="23" t="s">
        <v>53</v>
      </c>
      <c r="AJ2" s="23"/>
      <c r="AK2" s="44" t="s">
        <v>54</v>
      </c>
      <c r="AL2" s="44" t="s">
        <v>54</v>
      </c>
      <c r="AM2" s="23" t="str">
        <f>IFERROR(Tabela2[[#This Row],[Data Fim PMO]]-Tabela2[[#This Row],[Data Pedido PMO]],"")</f>
        <v/>
      </c>
      <c r="AN2" s="44">
        <v>45992</v>
      </c>
      <c r="AO2" s="44">
        <v>46011</v>
      </c>
      <c r="AP2" s="23">
        <f>IF(Tabela2[[#This Row],[Data Fim Prototipagem2]]=0," ",IFERROR(Tabela2[[#This Row],[Data Fim Prototipagem2]]-Tabela2[[#This Row],[Data Inicio Prototipagem]],""))</f>
        <v>19</v>
      </c>
      <c r="AQ2" s="37">
        <f>Tabela2[[#This Row],[capex]]</f>
        <v>1900</v>
      </c>
      <c r="AR2" s="58">
        <f>Tabela2[[#This Row],[Capex IN]]-Tabela2[[#This Row],[capex]]</f>
        <v>0</v>
      </c>
    </row>
    <row r="3" spans="1:44" x14ac:dyDescent="0.35">
      <c r="A3" s="23" t="s">
        <v>55</v>
      </c>
      <c r="B3" s="23" t="s">
        <v>56</v>
      </c>
      <c r="C3" s="23" t="s">
        <v>46</v>
      </c>
      <c r="D3" s="21" t="s">
        <v>47</v>
      </c>
      <c r="E3" s="23">
        <f>_xlfn.XLOOKUP(D3,validacao_lista!D:D,validacao_lista!E:E)</f>
        <v>8</v>
      </c>
      <c r="F3" s="23" t="s">
        <v>48</v>
      </c>
      <c r="G3" s="23">
        <f>IFERROR(_xlfn.XLOOKUP(Tabela2[[#This Row],[setor]],dim_custo_setor_horas!A:A,dim_custo_setor_horas!C:C)," ")</f>
        <v>0</v>
      </c>
      <c r="H3" s="23" t="s">
        <v>57</v>
      </c>
      <c r="I3" s="23" t="s">
        <v>57</v>
      </c>
      <c r="J3" s="23" t="s">
        <v>50</v>
      </c>
      <c r="K3" s="23" t="s">
        <v>51</v>
      </c>
      <c r="L3" s="23" t="s">
        <v>52</v>
      </c>
      <c r="M3" s="23">
        <v>3</v>
      </c>
      <c r="N3" s="44">
        <v>46063</v>
      </c>
      <c r="O3" s="44">
        <v>46068</v>
      </c>
      <c r="P3" s="49">
        <f>Tabela2[[#This Row],[data_fim]]-Tabela2[[#This Row],[data_inicio]]</f>
        <v>5</v>
      </c>
      <c r="Q3" s="44">
        <v>45992</v>
      </c>
      <c r="R3" s="44">
        <v>46068</v>
      </c>
      <c r="S3" s="44"/>
      <c r="T3" s="45">
        <v>100</v>
      </c>
      <c r="U3" s="23"/>
      <c r="V3" s="23">
        <v>589</v>
      </c>
      <c r="W3" s="51">
        <f>((Tabela2[[#This Row],[Horas economizadas anuais]] / 12) / 4)</f>
        <v>12.270833333333334</v>
      </c>
      <c r="X3" s="46">
        <f>(_xlfn.XLOOKUP(Tabela2[[#This Row],[setor]],dim_custo_setor_horas!A:A,dim_custo_setor_horas!B:B))*Tabela2[[#This Row],[Horas economizadas anuais]]</f>
        <v>38502.93</v>
      </c>
      <c r="Y3" s="46">
        <f>IF(Tabela2[[#This Row],[progresso_pct]]=100,Tabela2[[#This Row],[Retorno Previsto $]],0)</f>
        <v>38502.93</v>
      </c>
      <c r="Z3" s="37">
        <f>Tabela2[[#This Row],[duração_prev_dias]]*100</f>
        <v>500</v>
      </c>
      <c r="AA3" s="46"/>
      <c r="AB3" s="46">
        <v>500</v>
      </c>
      <c r="AC3" s="46">
        <v>420</v>
      </c>
      <c r="AD3" s="54">
        <f>IF(Tabela2[[#This Row],[progresso_pct]] = 100,IFERROR((Tabela2[[#This Row],[Retorno Previsto $]]-Tabela2[[#This Row],[spent_capex]])/Tabela2[[#This Row],[spent_capex]]," ")," ")</f>
        <v>76.005859999999998</v>
      </c>
      <c r="AE3" s="23">
        <v>16</v>
      </c>
      <c r="AF3" s="23">
        <v>3</v>
      </c>
      <c r="AG3" s="23">
        <v>3</v>
      </c>
      <c r="AH3" s="23">
        <v>3</v>
      </c>
      <c r="AI3" s="23" t="s">
        <v>58</v>
      </c>
      <c r="AJ3" s="23"/>
      <c r="AK3" s="44" t="s">
        <v>54</v>
      </c>
      <c r="AL3" s="44" t="s">
        <v>54</v>
      </c>
      <c r="AM3" s="23" t="str">
        <f>IFERROR(Tabela2[[#This Row],[Data Fim PMO]]-Tabela2[[#This Row],[Data Pedido PMO]],"")</f>
        <v/>
      </c>
      <c r="AN3" s="44">
        <v>45992</v>
      </c>
      <c r="AO3" s="44">
        <v>46068</v>
      </c>
      <c r="AP3" s="23">
        <f>IF(Tabela2[[#This Row],[Data Fim Prototipagem2]]=0," ",IFERROR(Tabela2[[#This Row],[Data Fim Prototipagem2]]-Tabela2[[#This Row],[Data Inicio Prototipagem]],""))</f>
        <v>76</v>
      </c>
      <c r="AQ3" s="37">
        <f>Tabela2[[#This Row],[capex]]</f>
        <v>500</v>
      </c>
      <c r="AR3" s="23"/>
    </row>
    <row r="4" spans="1:44" x14ac:dyDescent="0.35">
      <c r="A4" s="23" t="s">
        <v>59</v>
      </c>
      <c r="B4" s="23" t="s">
        <v>60</v>
      </c>
      <c r="C4" s="23" t="s">
        <v>61</v>
      </c>
      <c r="D4" s="21" t="s">
        <v>47</v>
      </c>
      <c r="E4" s="23">
        <f>_xlfn.XLOOKUP(D4,validacao_lista!D:D,validacao_lista!E:E)</f>
        <v>8</v>
      </c>
      <c r="F4" s="23" t="s">
        <v>48</v>
      </c>
      <c r="G4" s="23">
        <f>IFERROR(_xlfn.XLOOKUP(Tabela2[[#This Row],[setor]],dim_custo_setor_horas!A:A,dim_custo_setor_horas!C:C)," ")</f>
        <v>0</v>
      </c>
      <c r="H4" s="23" t="s">
        <v>49</v>
      </c>
      <c r="I4" s="23" t="s">
        <v>49</v>
      </c>
      <c r="J4" s="23" t="s">
        <v>50</v>
      </c>
      <c r="K4" s="23" t="s">
        <v>51</v>
      </c>
      <c r="L4" s="23" t="s">
        <v>52</v>
      </c>
      <c r="M4" s="23">
        <v>3</v>
      </c>
      <c r="N4" s="44">
        <v>45931</v>
      </c>
      <c r="O4" s="44">
        <v>46023</v>
      </c>
      <c r="P4" s="49">
        <f>Tabela2[[#This Row],[data_fim]]-Tabela2[[#This Row],[data_inicio]]</f>
        <v>92</v>
      </c>
      <c r="Q4" s="44">
        <v>45931</v>
      </c>
      <c r="R4" s="44">
        <v>46023</v>
      </c>
      <c r="S4" s="44"/>
      <c r="T4" s="45">
        <v>100</v>
      </c>
      <c r="U4" s="23"/>
      <c r="V4" s="23">
        <v>768</v>
      </c>
      <c r="W4" s="51">
        <f>((Tabela2[[#This Row],[Horas economizadas anuais]] / 12) / 4)</f>
        <v>16</v>
      </c>
      <c r="X4" s="46">
        <f>(_xlfn.XLOOKUP(Tabela2[[#This Row],[setor]],dim_custo_setor_horas!A:A,dim_custo_setor_horas!B:B))*Tabela2[[#This Row],[Horas economizadas anuais]]</f>
        <v>50204.160000000003</v>
      </c>
      <c r="Y4" s="46">
        <f>IF(Tabela2[[#This Row],[progresso_pct]]=100,Tabela2[[#This Row],[Retorno Previsto $]],0)</f>
        <v>50204.160000000003</v>
      </c>
      <c r="Z4" s="37">
        <f>Tabela2[[#This Row],[duração_prev_dias]]*100</f>
        <v>9200</v>
      </c>
      <c r="AA4" s="46"/>
      <c r="AB4" s="46">
        <v>9200</v>
      </c>
      <c r="AC4" s="46">
        <v>420</v>
      </c>
      <c r="AD4" s="54">
        <f>IF(Tabela2[[#This Row],[progresso_pct]] = 100,IFERROR((Tabela2[[#This Row],[Retorno Previsto $]]-Tabela2[[#This Row],[spent_capex]])/Tabela2[[#This Row],[spent_capex]]," ")," ")</f>
        <v>4.4569739130434787</v>
      </c>
      <c r="AE4" s="23">
        <v>16</v>
      </c>
      <c r="AF4" s="23">
        <v>3</v>
      </c>
      <c r="AG4" s="23">
        <v>5</v>
      </c>
      <c r="AH4" s="23">
        <v>3</v>
      </c>
      <c r="AI4" s="23" t="s">
        <v>62</v>
      </c>
      <c r="AJ4" s="23" t="s">
        <v>63</v>
      </c>
      <c r="AK4" s="44" t="s">
        <v>54</v>
      </c>
      <c r="AL4" s="44" t="s">
        <v>54</v>
      </c>
      <c r="AM4" s="23" t="str">
        <f>IFERROR(Tabela2[[#This Row],[Data Fim PMO]]-Tabela2[[#This Row],[Data Pedido PMO]],"")</f>
        <v/>
      </c>
      <c r="AN4" s="44">
        <v>45931</v>
      </c>
      <c r="AO4" s="44">
        <v>46023</v>
      </c>
      <c r="AP4" s="23">
        <f>IF(Tabela2[[#This Row],[Data Fim Prototipagem2]]=0," ",IFERROR(Tabela2[[#This Row],[Data Fim Prototipagem2]]-Tabela2[[#This Row],[Data Inicio Prototipagem]],""))</f>
        <v>92</v>
      </c>
      <c r="AQ4" s="37">
        <f>Tabela2[[#This Row],[capex]]</f>
        <v>9200</v>
      </c>
      <c r="AR4" s="23"/>
    </row>
    <row r="5" spans="1:44" x14ac:dyDescent="0.35">
      <c r="A5" s="21" t="s">
        <v>64</v>
      </c>
      <c r="B5" s="21" t="s">
        <v>65</v>
      </c>
      <c r="C5" s="21" t="s">
        <v>46</v>
      </c>
      <c r="D5" s="21" t="s">
        <v>47</v>
      </c>
      <c r="E5" s="21">
        <f>_xlfn.XLOOKUP(D5,validacao_lista!D:D,validacao_lista!E:E)</f>
        <v>8</v>
      </c>
      <c r="F5" s="21" t="s">
        <v>48</v>
      </c>
      <c r="G5" s="21">
        <f>IFERROR(_xlfn.XLOOKUP(Tabela2[[#This Row],[setor]],dim_custo_setor_horas!A:A,dim_custo_setor_horas!C:C)," ")</f>
        <v>0</v>
      </c>
      <c r="H5" s="21" t="s">
        <v>57</v>
      </c>
      <c r="I5" s="21" t="s">
        <v>57</v>
      </c>
      <c r="J5" s="21" t="s">
        <v>66</v>
      </c>
      <c r="K5" s="21" t="s">
        <v>51</v>
      </c>
      <c r="L5" s="21" t="s">
        <v>52</v>
      </c>
      <c r="M5" s="23">
        <v>3</v>
      </c>
      <c r="N5" s="22">
        <v>46063</v>
      </c>
      <c r="O5" s="22">
        <v>46068</v>
      </c>
      <c r="P5" s="50">
        <f>Tabela2[[#This Row],[data_fim]]-Tabela2[[#This Row],[data_inicio]]</f>
        <v>5</v>
      </c>
      <c r="Q5" s="22">
        <v>46064</v>
      </c>
      <c r="R5" s="22"/>
      <c r="S5" s="22"/>
      <c r="T5" s="45">
        <v>100</v>
      </c>
      <c r="U5" s="21"/>
      <c r="V5" s="21">
        <f>288</f>
        <v>288</v>
      </c>
      <c r="W5" s="52">
        <f>((Tabela2[[#This Row],[Horas economizadas anuais]] / 12) / 4)</f>
        <v>6</v>
      </c>
      <c r="X5" s="37">
        <f>(_xlfn.XLOOKUP(Tabela2[[#This Row],[setor]],dim_custo_setor_horas!A:A,dim_custo_setor_horas!B:B))*Tabela2[[#This Row],[Horas economizadas anuais]]</f>
        <v>18826.560000000001</v>
      </c>
      <c r="Y5" s="37">
        <f>IF(Tabela2[[#This Row],[progresso_pct]]=100,Tabela2[[#This Row],[Retorno Previsto $]],0)</f>
        <v>18826.560000000001</v>
      </c>
      <c r="Z5" s="37">
        <f>Tabela2[[#This Row],[duração_prev_dias]]*100</f>
        <v>500</v>
      </c>
      <c r="AA5" s="37"/>
      <c r="AB5" s="37">
        <f>Tabela2[[#This Row],[capex]]</f>
        <v>500</v>
      </c>
      <c r="AC5" s="37">
        <v>420</v>
      </c>
      <c r="AD5" s="54">
        <f>IFERROR((Tabela2[[#This Row],[Retorno Previsto $]]-Tabela2[[#This Row],[spent_capex]])/Tabela2[[#This Row],[spent_capex]]," ")</f>
        <v>36.653120000000001</v>
      </c>
      <c r="AE5" s="21">
        <v>16</v>
      </c>
      <c r="AF5" s="21">
        <v>3</v>
      </c>
      <c r="AG5" s="21">
        <v>5</v>
      </c>
      <c r="AH5" s="21">
        <v>3</v>
      </c>
      <c r="AI5" s="23" t="s">
        <v>58</v>
      </c>
      <c r="AJ5" s="21"/>
      <c r="AK5" s="44" t="s">
        <v>54</v>
      </c>
      <c r="AL5" s="44" t="s">
        <v>54</v>
      </c>
      <c r="AM5" s="21" t="str">
        <f>IFERROR(Tabela2[[#This Row],[Data Fim PMO]]-Tabela2[[#This Row],[Data Pedido PMO]],"")</f>
        <v/>
      </c>
      <c r="AN5" s="22">
        <v>46063</v>
      </c>
      <c r="AO5" s="21"/>
      <c r="AP5" s="21" t="str">
        <f>IF(Tabela2[[#This Row],[Data Fim Prototipagem2]]=0," ",IFERROR(Tabela2[[#This Row],[Data Fim Prototipagem2]]-Tabela2[[#This Row],[Data Inicio Prototipagem]],""))</f>
        <v xml:space="preserve"> </v>
      </c>
      <c r="AQ5" s="37">
        <f>Tabela2[[#This Row],[capex]]</f>
        <v>500</v>
      </c>
      <c r="AR5" s="21"/>
    </row>
    <row r="6" spans="1:44" x14ac:dyDescent="0.35">
      <c r="A6" s="21" t="s">
        <v>67</v>
      </c>
      <c r="B6" s="23" t="s">
        <v>68</v>
      </c>
      <c r="C6" s="21" t="s">
        <v>61</v>
      </c>
      <c r="D6" s="21" t="s">
        <v>47</v>
      </c>
      <c r="E6" s="21">
        <f>_xlfn.XLOOKUP(D6,validacao_lista!D:D,validacao_lista!E:E)</f>
        <v>8</v>
      </c>
      <c r="F6" s="21" t="s">
        <v>48</v>
      </c>
      <c r="G6" s="21">
        <f>IFERROR(_xlfn.XLOOKUP(Tabela2[[#This Row],[setor]],dim_custo_setor_horas!A:A,dim_custo_setor_horas!C:C)," ")</f>
        <v>0</v>
      </c>
      <c r="H6" s="21" t="s">
        <v>69</v>
      </c>
      <c r="I6" s="21" t="s">
        <v>69</v>
      </c>
      <c r="J6" s="21" t="s">
        <v>70</v>
      </c>
      <c r="K6" s="21" t="s">
        <v>71</v>
      </c>
      <c r="L6" s="21" t="s">
        <v>72</v>
      </c>
      <c r="M6" s="21">
        <v>1</v>
      </c>
      <c r="N6" s="22">
        <v>46076</v>
      </c>
      <c r="O6" s="22">
        <v>46087</v>
      </c>
      <c r="P6" s="50">
        <f>Tabela2[[#This Row],[data_fim]]-Tabela2[[#This Row],[data_inicio]]</f>
        <v>11</v>
      </c>
      <c r="Q6" s="22">
        <v>46076</v>
      </c>
      <c r="R6" s="22">
        <v>46087</v>
      </c>
      <c r="S6" s="22"/>
      <c r="T6" s="39">
        <v>100</v>
      </c>
      <c r="U6" s="21"/>
      <c r="V6" s="21">
        <v>600</v>
      </c>
      <c r="W6" s="50">
        <f>((Tabela2[[#This Row],[Horas economizadas anuais]] / 12) / 4)</f>
        <v>12.5</v>
      </c>
      <c r="X6" s="37">
        <f>(_xlfn.XLOOKUP(Tabela2[[#This Row],[setor]],dim_custo_setor_horas!A:A,dim_custo_setor_horas!B:B))*Tabela2[[#This Row],[Horas economizadas anuais]]</f>
        <v>44766</v>
      </c>
      <c r="Y6" s="37">
        <f>IF(Tabela2[[#This Row],[progresso_pct]]=100,Tabela2[[#This Row],[Retorno Previsto $]],0)</f>
        <v>44766</v>
      </c>
      <c r="Z6" s="37">
        <v>1600</v>
      </c>
      <c r="AA6" s="37"/>
      <c r="AB6" s="37">
        <v>1600</v>
      </c>
      <c r="AC6" s="37"/>
      <c r="AD6" s="54">
        <f>IF(Tabela2[[#This Row],[progresso_pct]] = 100,IFERROR((Tabela2[[#This Row],[Retorno Previsto $]]-Tabela2[[#This Row],[spent_capex]])/Tabela2[[#This Row],[spent_capex]]," ")," ")</f>
        <v>26.978750000000002</v>
      </c>
      <c r="AE6" s="21"/>
      <c r="AF6" s="21"/>
      <c r="AG6" s="21"/>
      <c r="AH6" s="21"/>
      <c r="AI6" s="21" t="s">
        <v>73</v>
      </c>
      <c r="AJ6" s="21" t="s">
        <v>74</v>
      </c>
      <c r="AK6" s="21"/>
      <c r="AL6" s="21"/>
      <c r="AM6" s="21">
        <f>IFERROR(Tabela2[[#This Row],[Data Fim PMO]]-Tabela2[[#This Row],[Data Pedido PMO]],"")</f>
        <v>0</v>
      </c>
      <c r="AN6" s="21"/>
      <c r="AO6" s="21"/>
      <c r="AP6" s="21" t="str">
        <f>IF(Tabela2[[#This Row],[Data Fim Prototipagem2]]=0," ",IFERROR(Tabela2[[#This Row],[Data Fim Prototipagem2]]-Tabela2[[#This Row],[Data Inicio Prototipagem]],""))</f>
        <v xml:space="preserve"> </v>
      </c>
      <c r="AQ6" s="37">
        <v>1600</v>
      </c>
      <c r="AR6" s="21"/>
    </row>
    <row r="7" spans="1:44" x14ac:dyDescent="0.35">
      <c r="A7" s="21" t="s">
        <v>75</v>
      </c>
      <c r="B7" s="23" t="s">
        <v>76</v>
      </c>
      <c r="C7" s="21" t="s">
        <v>46</v>
      </c>
      <c r="D7" s="21" t="s">
        <v>47</v>
      </c>
      <c r="E7" s="21">
        <f>_xlfn.XLOOKUP(D7,validacao_lista!D:D,validacao_lista!E:E)</f>
        <v>8</v>
      </c>
      <c r="F7" s="21" t="s">
        <v>48</v>
      </c>
      <c r="G7" s="21">
        <f>IFERROR(_xlfn.XLOOKUP(Tabela2[[#This Row],[setor]],dim_custo_setor_horas!A:A,dim_custo_setor_horas!C:C)," ")</f>
        <v>0</v>
      </c>
      <c r="H7" s="21" t="s">
        <v>57</v>
      </c>
      <c r="I7" s="21" t="s">
        <v>57</v>
      </c>
      <c r="J7" s="21" t="s">
        <v>50</v>
      </c>
      <c r="K7" s="21" t="s">
        <v>51</v>
      </c>
      <c r="L7" s="21" t="s">
        <v>52</v>
      </c>
      <c r="M7" s="21">
        <v>3</v>
      </c>
      <c r="N7" s="22">
        <v>46090</v>
      </c>
      <c r="O7" s="22">
        <v>46090</v>
      </c>
      <c r="P7" s="50">
        <f>Tabela2[[#This Row],[data_fim]]-Tabela2[[#This Row],[data_inicio]]</f>
        <v>0</v>
      </c>
      <c r="Q7" s="22"/>
      <c r="R7" s="22"/>
      <c r="S7" s="22"/>
      <c r="T7" s="39">
        <v>0</v>
      </c>
      <c r="U7" s="21"/>
      <c r="V7" s="21">
        <v>240</v>
      </c>
      <c r="W7" s="52">
        <f>((Tabela2[[#This Row],[Horas economizadas anuais]] / 12) / 4)</f>
        <v>5</v>
      </c>
      <c r="X7" s="37">
        <f>(_xlfn.XLOOKUP(Tabela2[[#This Row],[setor]],dim_custo_setor_horas!A:A,dim_custo_setor_horas!B:B))*Tabela2[[#This Row],[Horas economizadas anuais]]</f>
        <v>15688.800000000001</v>
      </c>
      <c r="Y7" s="37">
        <f>IF(Tabela2[[#This Row],[progresso_pct]]=100,Tabela2[[#This Row],[Retorno Previsto $]],0)</f>
        <v>0</v>
      </c>
      <c r="Z7" s="37">
        <v>800</v>
      </c>
      <c r="AA7" s="37"/>
      <c r="AB7" s="37"/>
      <c r="AC7" s="37"/>
      <c r="AD7" s="47" t="str">
        <f>IF(Tabela2[[#This Row],[progresso_pct]] = 100,IFERROR((Tabela2[[#This Row],[Retorno Previsto $]]-Tabela2[[#This Row],[spent_capex]])/Tabela2[[#This Row],[spent_capex]]," ")," ")</f>
        <v xml:space="preserve"> </v>
      </c>
      <c r="AE7" s="21"/>
      <c r="AF7" s="21">
        <v>3</v>
      </c>
      <c r="AG7" s="21">
        <v>3</v>
      </c>
      <c r="AH7" s="21">
        <v>3</v>
      </c>
      <c r="AI7" s="21" t="s">
        <v>77</v>
      </c>
      <c r="AJ7" s="21" t="s">
        <v>63</v>
      </c>
      <c r="AK7" s="22" t="s">
        <v>54</v>
      </c>
      <c r="AL7" s="22" t="s">
        <v>54</v>
      </c>
      <c r="AM7" s="21" t="str">
        <f>IFERROR(Tabela2[[#This Row],[Data Fim PMO]]-Tabela2[[#This Row],[Data Pedido PMO]],"")</f>
        <v/>
      </c>
      <c r="AN7" s="21"/>
      <c r="AO7" s="21"/>
      <c r="AP7" s="21" t="str">
        <f>IF(Tabela2[[#This Row],[Data Fim Prototipagem2]]=0," ",IFERROR(Tabela2[[#This Row],[Data Fim Prototipagem2]]-Tabela2[[#This Row],[Data Inicio Prototipagem]],""))</f>
        <v xml:space="preserve"> </v>
      </c>
      <c r="AQ7" s="37">
        <v>500</v>
      </c>
      <c r="AR7" s="21"/>
    </row>
    <row r="8" spans="1:44" x14ac:dyDescent="0.35">
      <c r="A8" s="21" t="s">
        <v>78</v>
      </c>
      <c r="B8" s="21" t="s">
        <v>79</v>
      </c>
      <c r="C8" s="21" t="s">
        <v>61</v>
      </c>
      <c r="D8" s="21" t="s">
        <v>80</v>
      </c>
      <c r="E8" s="21">
        <f>_xlfn.XLOOKUP(D8,validacao_lista!D:D,validacao_lista!E:E)</f>
        <v>7</v>
      </c>
      <c r="F8" s="21" t="s">
        <v>48</v>
      </c>
      <c r="G8" s="21">
        <f>IFERROR(_xlfn.XLOOKUP(Tabela2[[#This Row],[setor]],dim_custo_setor_horas!A:A,dim_custo_setor_horas!C:C)," ")</f>
        <v>1</v>
      </c>
      <c r="H8" s="21" t="s">
        <v>81</v>
      </c>
      <c r="I8" s="21" t="s">
        <v>49</v>
      </c>
      <c r="J8" s="21" t="s">
        <v>82</v>
      </c>
      <c r="K8" s="21" t="s">
        <v>83</v>
      </c>
      <c r="L8" s="21" t="s">
        <v>84</v>
      </c>
      <c r="M8" s="21">
        <v>1</v>
      </c>
      <c r="N8" s="22">
        <v>45992</v>
      </c>
      <c r="O8" s="22">
        <v>46112</v>
      </c>
      <c r="P8" s="50">
        <f>Tabela2[[#This Row],[data_fim]]-Tabela2[[#This Row],[data_inicio]]</f>
        <v>120</v>
      </c>
      <c r="Q8" s="22">
        <v>45992</v>
      </c>
      <c r="R8" s="22"/>
      <c r="S8" s="22"/>
      <c r="T8" s="39">
        <v>99</v>
      </c>
      <c r="U8" s="21"/>
      <c r="V8" s="21">
        <v>600</v>
      </c>
      <c r="W8" s="52">
        <f>((Tabela2[[#This Row],[Horas economizadas anuais]] / 12) / 4)</f>
        <v>12.5</v>
      </c>
      <c r="X8" s="37">
        <f>(_xlfn.XLOOKUP(Tabela2[[#This Row],[setor]],dim_custo_setor_horas!A:A,dim_custo_setor_horas!B:B))*Tabela2[[#This Row],[Horas economizadas anuais]]</f>
        <v>60516</v>
      </c>
      <c r="Y8" s="37">
        <f>IF(Tabela2[[#This Row],[progresso_pct]]=100,Tabela2[[#This Row],[Retorno Previsto $]],0)</f>
        <v>0</v>
      </c>
      <c r="Z8" s="37">
        <f>Tabela2[[#This Row],[duração_prev_dias]]*100</f>
        <v>12000</v>
      </c>
      <c r="AA8" s="37"/>
      <c r="AB8" s="37">
        <f>Tabela2[[#This Row],[capex]]</f>
        <v>12000</v>
      </c>
      <c r="AC8" s="37">
        <v>800</v>
      </c>
      <c r="AD8" s="54" t="str">
        <f>IF(Tabela2[[#This Row],[progresso_pct]] = 100,IFERROR((Tabela2[[#This Row],[Retorno Previsto $]]-Tabela2[[#This Row],[spent_capex]])/Tabela2[[#This Row],[spent_capex]]," ")," ")</f>
        <v xml:space="preserve"> </v>
      </c>
      <c r="AE8" s="21">
        <v>10</v>
      </c>
      <c r="AF8" s="21">
        <v>3</v>
      </c>
      <c r="AG8" s="21">
        <v>3</v>
      </c>
      <c r="AH8" s="21">
        <v>3</v>
      </c>
      <c r="AI8" s="21" t="s">
        <v>85</v>
      </c>
      <c r="AJ8" s="21" t="s">
        <v>86</v>
      </c>
      <c r="AK8" s="22">
        <v>46029</v>
      </c>
      <c r="AL8" s="22">
        <v>46029</v>
      </c>
      <c r="AM8" s="21">
        <f>IFERROR(Tabela2[[#This Row],[Data Fim PMO]]-Tabela2[[#This Row],[Data Pedido PMO]],"")</f>
        <v>0</v>
      </c>
      <c r="AN8" s="22">
        <v>46030</v>
      </c>
      <c r="AO8" s="22">
        <v>46031</v>
      </c>
      <c r="AP8" s="21">
        <f>IF(Tabela2[[#This Row],[Data Fim Prototipagem2]]=0," ",IFERROR(Tabela2[[#This Row],[Data Fim Prototipagem2]]-Tabela2[[#This Row],[Data Inicio Prototipagem]],""))</f>
        <v>1</v>
      </c>
      <c r="AQ8" s="37">
        <f>Tabela2[[#This Row],[capex]]</f>
        <v>12000</v>
      </c>
      <c r="AR8" s="21"/>
    </row>
    <row r="9" spans="1:44" x14ac:dyDescent="0.35">
      <c r="A9" s="21" t="s">
        <v>87</v>
      </c>
      <c r="B9" s="21" t="s">
        <v>88</v>
      </c>
      <c r="C9" s="21" t="s">
        <v>61</v>
      </c>
      <c r="D9" s="21" t="s">
        <v>89</v>
      </c>
      <c r="E9" s="21">
        <f>_xlfn.XLOOKUP(D9,validacao_lista!D:D,validacao_lista!E:E)</f>
        <v>6</v>
      </c>
      <c r="F9" s="21" t="s">
        <v>48</v>
      </c>
      <c r="G9" s="21">
        <f>IFERROR(_xlfn.XLOOKUP(Tabela2[[#This Row],[setor]],dim_custo_setor_horas!A:A,dim_custo_setor_horas!C:C)," ")</f>
        <v>1</v>
      </c>
      <c r="H9" s="21" t="s">
        <v>81</v>
      </c>
      <c r="I9" s="21" t="s">
        <v>49</v>
      </c>
      <c r="J9" s="21" t="s">
        <v>90</v>
      </c>
      <c r="K9" s="21" t="s">
        <v>91</v>
      </c>
      <c r="L9" s="21" t="s">
        <v>92</v>
      </c>
      <c r="M9" s="21">
        <v>1</v>
      </c>
      <c r="N9" s="22">
        <v>46054</v>
      </c>
      <c r="O9" s="22">
        <v>46112</v>
      </c>
      <c r="P9" s="50">
        <f>Tabela2[[#This Row],[data_fim]]-Tabela2[[#This Row],[data_inicio]]</f>
        <v>58</v>
      </c>
      <c r="Q9" s="22">
        <v>46054</v>
      </c>
      <c r="R9" s="22"/>
      <c r="S9" s="22"/>
      <c r="T9" s="39">
        <v>90</v>
      </c>
      <c r="U9" s="21"/>
      <c r="V9" s="21">
        <v>420</v>
      </c>
      <c r="W9" s="52">
        <f>((Tabela2[[#This Row],[Horas economizadas anuais]] / 12) / 4)</f>
        <v>8.75</v>
      </c>
      <c r="X9" s="37">
        <f>(_xlfn.XLOOKUP(Tabela2[[#This Row],[setor]],dim_custo_setor_horas!A:A,dim_custo_setor_horas!B:B))*Tabela2[[#This Row],[Horas economizadas anuais]]</f>
        <v>31336.2</v>
      </c>
      <c r="Y9" s="37">
        <f>IF(Tabela2[[#This Row],[progresso_pct]]=100,Tabela2[[#This Row],[Retorno Previsto $]],0)</f>
        <v>0</v>
      </c>
      <c r="Z9" s="37">
        <f>Tabela2[[#This Row],[duração_prev_dias]]*100</f>
        <v>5800</v>
      </c>
      <c r="AA9" s="37"/>
      <c r="AB9" s="37">
        <f>Tabela2[[#This Row],[capex]]</f>
        <v>5800</v>
      </c>
      <c r="AC9" s="37">
        <v>600</v>
      </c>
      <c r="AD9" s="54" t="str">
        <f>IF(Tabela2[[#This Row],[progresso_pct]] = 100,IFERROR((Tabela2[[#This Row],[Retorno Previsto $]]-Tabela2[[#This Row],[spent_capex]])/Tabela2[[#This Row],[spent_capex]]," ")," ")</f>
        <v xml:space="preserve"> </v>
      </c>
      <c r="AE9" s="21">
        <v>11</v>
      </c>
      <c r="AF9" s="21">
        <v>3</v>
      </c>
      <c r="AG9" s="21">
        <v>3</v>
      </c>
      <c r="AH9" s="21">
        <v>3</v>
      </c>
      <c r="AI9" s="21" t="s">
        <v>93</v>
      </c>
      <c r="AJ9" s="21" t="s">
        <v>86</v>
      </c>
      <c r="AK9" s="22">
        <v>46029</v>
      </c>
      <c r="AL9" s="22">
        <v>46029</v>
      </c>
      <c r="AM9" s="21">
        <f>IFERROR(Tabela2[[#This Row],[Data Fim PMO]]-Tabela2[[#This Row],[Data Pedido PMO]],"")</f>
        <v>0</v>
      </c>
      <c r="AN9" s="22">
        <v>46029</v>
      </c>
      <c r="AO9" s="22">
        <v>46030</v>
      </c>
      <c r="AP9" s="21">
        <f>IF(Tabela2[[#This Row],[Data Fim Prototipagem2]]=0," ",IFERROR(Tabela2[[#This Row],[Data Fim Prototipagem2]]-Tabela2[[#This Row],[Data Inicio Prototipagem]],""))</f>
        <v>1</v>
      </c>
      <c r="AQ9" s="37">
        <f>Tabela2[[#This Row],[capex]]</f>
        <v>5800</v>
      </c>
      <c r="AR9" s="21"/>
    </row>
    <row r="10" spans="1:44" x14ac:dyDescent="0.35">
      <c r="A10" s="21" t="s">
        <v>94</v>
      </c>
      <c r="B10" s="21" t="s">
        <v>95</v>
      </c>
      <c r="C10" s="21" t="s">
        <v>61</v>
      </c>
      <c r="D10" s="21" t="s">
        <v>89</v>
      </c>
      <c r="E10" s="21">
        <f>_xlfn.XLOOKUP(D10,validacao_lista!D:D,validacao_lista!E:E)</f>
        <v>6</v>
      </c>
      <c r="F10" s="21" t="s">
        <v>48</v>
      </c>
      <c r="G10" s="21">
        <f>IFERROR(_xlfn.XLOOKUP(Tabela2[[#This Row],[setor]],dim_custo_setor_horas!A:A,dim_custo_setor_horas!C:C)," ")</f>
        <v>0</v>
      </c>
      <c r="H10" s="21" t="s">
        <v>81</v>
      </c>
      <c r="I10" s="21" t="s">
        <v>49</v>
      </c>
      <c r="J10" s="21" t="s">
        <v>49</v>
      </c>
      <c r="K10" s="21" t="s">
        <v>91</v>
      </c>
      <c r="L10" s="21" t="s">
        <v>96</v>
      </c>
      <c r="M10" s="21">
        <v>1</v>
      </c>
      <c r="N10" s="22">
        <v>46054</v>
      </c>
      <c r="O10" s="22">
        <v>46112</v>
      </c>
      <c r="P10" s="50">
        <f>Tabela2[[#This Row],[data_fim]]-Tabela2[[#This Row],[data_inicio]]</f>
        <v>58</v>
      </c>
      <c r="Q10" s="22">
        <v>46054</v>
      </c>
      <c r="R10" s="22">
        <v>46113</v>
      </c>
      <c r="S10" s="22"/>
      <c r="T10" s="39">
        <v>99</v>
      </c>
      <c r="U10" s="21"/>
      <c r="V10" s="21">
        <v>288</v>
      </c>
      <c r="W10" s="52">
        <f>((Tabela2[[#This Row],[Horas economizadas anuais]] / 12) / 4)</f>
        <v>6</v>
      </c>
      <c r="X10" s="37">
        <f>(_xlfn.XLOOKUP(Tabela2[[#This Row],[setor]],dim_custo_setor_horas!A:A,dim_custo_setor_horas!B:B))*Tabela2[[#This Row],[Horas economizadas anuais]]</f>
        <v>13648.32</v>
      </c>
      <c r="Y10" s="37">
        <f>IF(Tabela2[[#This Row],[progresso_pct]]=100,Tabela2[[#This Row],[Retorno Previsto $]],0)</f>
        <v>0</v>
      </c>
      <c r="Z10" s="37">
        <f>Tabela2[[#This Row],[duração_prev_dias]]*100</f>
        <v>5800</v>
      </c>
      <c r="AA10" s="37"/>
      <c r="AB10" s="37">
        <f>Tabela2[[#This Row],[capex]]</f>
        <v>5800</v>
      </c>
      <c r="AC10" s="37">
        <v>800</v>
      </c>
      <c r="AD10" s="54" t="str">
        <f>IF(Tabela2[[#This Row],[progresso_pct]] = 100,IFERROR((Tabela2[[#This Row],[Retorno Previsto $]]-Tabela2[[#This Row],[spent_capex]])/Tabela2[[#This Row],[spent_capex]]," ")," ")</f>
        <v xml:space="preserve"> </v>
      </c>
      <c r="AE10" s="21">
        <v>10</v>
      </c>
      <c r="AF10" s="21">
        <v>3</v>
      </c>
      <c r="AG10" s="21">
        <v>3</v>
      </c>
      <c r="AH10" s="21">
        <v>3</v>
      </c>
      <c r="AI10" s="21" t="s">
        <v>97</v>
      </c>
      <c r="AJ10" s="21" t="s">
        <v>86</v>
      </c>
      <c r="AK10" s="22"/>
      <c r="AL10" s="22"/>
      <c r="AM10" s="21">
        <f>IFERROR(Tabela2[[#This Row],[Data Fim PMO]]-Tabela2[[#This Row],[Data Pedido PMO]],"")</f>
        <v>0</v>
      </c>
      <c r="AN10" s="22"/>
      <c r="AO10" s="21"/>
      <c r="AP10" s="21" t="str">
        <f>IF(Tabela2[[#This Row],[Data Fim Prototipagem2]]=0," ",IFERROR(Tabela2[[#This Row],[Data Fim Prototipagem2]]-Tabela2[[#This Row],[Data Inicio Prototipagem]],""))</f>
        <v xml:space="preserve"> </v>
      </c>
      <c r="AQ10" s="37">
        <f>Tabela2[[#This Row],[capex]]</f>
        <v>5800</v>
      </c>
      <c r="AR10" s="21"/>
    </row>
    <row r="11" spans="1:44" x14ac:dyDescent="0.35">
      <c r="A11" s="21" t="s">
        <v>98</v>
      </c>
      <c r="B11" s="21" t="s">
        <v>99</v>
      </c>
      <c r="C11" s="21" t="s">
        <v>61</v>
      </c>
      <c r="D11" s="21" t="s">
        <v>89</v>
      </c>
      <c r="E11" s="21">
        <f>_xlfn.XLOOKUP(D11,validacao_lista!D:D,validacao_lista!E:E)</f>
        <v>6</v>
      </c>
      <c r="F11" s="21" t="s">
        <v>100</v>
      </c>
      <c r="G11" s="21">
        <f>IFERROR(_xlfn.XLOOKUP(Tabela2[[#This Row],[setor]],dim_custo_setor_horas!A:A,dim_custo_setor_horas!C:C)," ")</f>
        <v>1</v>
      </c>
      <c r="H11" s="21" t="s">
        <v>57</v>
      </c>
      <c r="I11" s="21" t="s">
        <v>57</v>
      </c>
      <c r="J11" s="21" t="s">
        <v>101</v>
      </c>
      <c r="K11" s="21" t="s">
        <v>102</v>
      </c>
      <c r="L11" s="21" t="s">
        <v>103</v>
      </c>
      <c r="M11" s="21">
        <v>3</v>
      </c>
      <c r="N11" s="22">
        <v>46102</v>
      </c>
      <c r="O11" s="22">
        <v>46108</v>
      </c>
      <c r="P11" s="50">
        <f>Tabela2[[#This Row],[data_fim]]-Tabela2[[#This Row],[data_inicio]]</f>
        <v>6</v>
      </c>
      <c r="Q11" s="22"/>
      <c r="R11" s="22"/>
      <c r="S11" s="22"/>
      <c r="T11" s="39">
        <v>40</v>
      </c>
      <c r="U11" s="21"/>
      <c r="V11" s="21">
        <v>180</v>
      </c>
      <c r="W11" s="50">
        <f>((Tabela2[[#This Row],[Horas economizadas anuais]] / 12) / 4)</f>
        <v>3.75</v>
      </c>
      <c r="X11" s="37">
        <f>(_xlfn.XLOOKUP(Tabela2[[#This Row],[setor]],dim_custo_setor_horas!A:A,dim_custo_setor_horas!B:B))*Tabela2[[#This Row],[Horas economizadas anuais]]</f>
        <v>11435.4</v>
      </c>
      <c r="Y11" s="37">
        <f>IF(Tabela2[[#This Row],[progresso_pct]]=100,Tabela2[[#This Row],[Retorno Previsto $]],0)</f>
        <v>0</v>
      </c>
      <c r="Z11" s="37">
        <v>500</v>
      </c>
      <c r="AA11" s="37"/>
      <c r="AB11" s="37"/>
      <c r="AC11" s="37"/>
      <c r="AD11" s="47" t="str">
        <f>IF(Tabela2[[#This Row],[progresso_pct]] = 100,IFERROR((Tabela2[[#This Row],[Retorno Previsto $]]-Tabela2[[#This Row],[spent_capex]])/Tabela2[[#This Row],[spent_capex]]," ")," ")</f>
        <v xml:space="preserve"> </v>
      </c>
      <c r="AE11" s="21"/>
      <c r="AF11" s="21">
        <v>3</v>
      </c>
      <c r="AG11" s="21">
        <v>1</v>
      </c>
      <c r="AH11" s="21">
        <v>1</v>
      </c>
      <c r="AI11" s="21" t="s">
        <v>104</v>
      </c>
      <c r="AJ11" s="21" t="s">
        <v>86</v>
      </c>
      <c r="AK11" s="21"/>
      <c r="AL11" s="21"/>
      <c r="AM11" s="21">
        <f>IFERROR(Tabela2[[#This Row],[Data Fim PMO]]-Tabela2[[#This Row],[Data Pedido PMO]],"")</f>
        <v>0</v>
      </c>
      <c r="AN11" s="21"/>
      <c r="AO11" s="21"/>
      <c r="AP11" s="21" t="str">
        <f>IF(Tabela2[[#This Row],[Data Fim Prototipagem2]]=0," ",IFERROR(Tabela2[[#This Row],[Data Fim Prototipagem2]]-Tabela2[[#This Row],[Data Inicio Prototipagem]],""))</f>
        <v xml:space="preserve"> </v>
      </c>
      <c r="AQ11" s="37">
        <v>500</v>
      </c>
      <c r="AR11" s="21"/>
    </row>
    <row r="12" spans="1:44" x14ac:dyDescent="0.35">
      <c r="A12" s="21" t="s">
        <v>105</v>
      </c>
      <c r="B12" s="21" t="s">
        <v>106</v>
      </c>
      <c r="C12" s="21" t="s">
        <v>107</v>
      </c>
      <c r="D12" s="21" t="s">
        <v>89</v>
      </c>
      <c r="E12" s="21">
        <f>_xlfn.XLOOKUP(D12,validacao_lista!D:D,validacao_lista!E:E)</f>
        <v>6</v>
      </c>
      <c r="F12" s="21" t="s">
        <v>108</v>
      </c>
      <c r="G12" s="21">
        <f>IFERROR(_xlfn.XLOOKUP(Tabela2[[#This Row],[setor]],dim_custo_setor_horas!A:A,dim_custo_setor_horas!C:C)," ")</f>
        <v>1</v>
      </c>
      <c r="H12" s="21" t="s">
        <v>81</v>
      </c>
      <c r="I12" s="21" t="s">
        <v>109</v>
      </c>
      <c r="J12" s="21" t="s">
        <v>109</v>
      </c>
      <c r="K12" s="21" t="s">
        <v>110</v>
      </c>
      <c r="L12" s="21" t="s">
        <v>111</v>
      </c>
      <c r="M12" s="23">
        <v>3</v>
      </c>
      <c r="N12" s="22">
        <v>46054</v>
      </c>
      <c r="O12" s="22">
        <v>46113</v>
      </c>
      <c r="P12" s="50">
        <f>Tabela2[[#This Row],[data_fim]]-Tabela2[[#This Row],[data_inicio]]</f>
        <v>59</v>
      </c>
      <c r="Q12" s="22">
        <v>46054</v>
      </c>
      <c r="R12" s="22"/>
      <c r="S12" s="22"/>
      <c r="T12" s="39">
        <v>30</v>
      </c>
      <c r="U12" s="21"/>
      <c r="V12" s="21"/>
      <c r="W12" s="52">
        <f>((Tabela2[[#This Row],[Horas economizadas anuais]] / 12) / 4)</f>
        <v>0</v>
      </c>
      <c r="X12" s="37">
        <f>(_xlfn.XLOOKUP(Tabela2[[#This Row],[setor]],dim_custo_setor_horas!A:A,dim_custo_setor_horas!B:B))*Tabela2[[#This Row],[Horas economizadas anuais]]</f>
        <v>0</v>
      </c>
      <c r="Y12" s="37">
        <f>IF(Tabela2[[#This Row],[progresso_pct]]=100,Tabela2[[#This Row],[Retorno Previsto $]],0)</f>
        <v>0</v>
      </c>
      <c r="Z12" s="37"/>
      <c r="AA12" s="37"/>
      <c r="AB12" s="37"/>
      <c r="AC12" s="37"/>
      <c r="AD12" s="54" t="str">
        <f>IF(Tabela2[[#This Row],[progresso_pct]] = 100,IFERROR((Tabela2[[#This Row],[Retorno Previsto $]]-Tabela2[[#This Row],[spent_capex]])/Tabela2[[#This Row],[spent_capex]]," ")," ")</f>
        <v xml:space="preserve"> </v>
      </c>
      <c r="AE12" s="21"/>
      <c r="AF12" s="21">
        <v>5</v>
      </c>
      <c r="AG12" s="21">
        <v>3</v>
      </c>
      <c r="AH12" s="21">
        <v>3</v>
      </c>
      <c r="AI12" s="21" t="s">
        <v>112</v>
      </c>
      <c r="AJ12" s="21" t="s">
        <v>63</v>
      </c>
      <c r="AK12" s="22">
        <v>46030</v>
      </c>
      <c r="AL12" s="22">
        <v>46085</v>
      </c>
      <c r="AM12" s="21">
        <f>IFERROR(Tabela2[[#This Row],[Data Fim PMO]]-Tabela2[[#This Row],[Data Pedido PMO]],"")</f>
        <v>55</v>
      </c>
      <c r="AN12" s="21"/>
      <c r="AO12" s="21"/>
      <c r="AP12" s="21" t="str">
        <f>IF(Tabela2[[#This Row],[Data Fim Prototipagem2]]=0," ",IFERROR(Tabela2[[#This Row],[Data Fim Prototipagem2]]-Tabela2[[#This Row],[Data Inicio Prototipagem]],""))</f>
        <v xml:space="preserve"> </v>
      </c>
      <c r="AQ12" s="21"/>
      <c r="AR12" s="21"/>
    </row>
    <row r="13" spans="1:44" x14ac:dyDescent="0.35">
      <c r="A13" s="21" t="s">
        <v>113</v>
      </c>
      <c r="B13" s="23" t="s">
        <v>114</v>
      </c>
      <c r="C13" s="21" t="s">
        <v>61</v>
      </c>
      <c r="D13" s="21" t="s">
        <v>89</v>
      </c>
      <c r="E13" s="21">
        <f>_xlfn.XLOOKUP(D13,validacao_lista!D:D,validacao_lista!E:E)</f>
        <v>6</v>
      </c>
      <c r="F13" s="21" t="s">
        <v>115</v>
      </c>
      <c r="G13" s="21">
        <f>IFERROR(_xlfn.XLOOKUP(Tabela2[[#This Row],[setor]],dim_custo_setor_horas!A:A,dim_custo_setor_horas!C:C)," ")</f>
        <v>0</v>
      </c>
      <c r="H13" s="21" t="s">
        <v>69</v>
      </c>
      <c r="I13" s="21" t="s">
        <v>69</v>
      </c>
      <c r="J13" s="21" t="s">
        <v>116</v>
      </c>
      <c r="K13" s="21" t="s">
        <v>71</v>
      </c>
      <c r="L13" s="21" t="s">
        <v>72</v>
      </c>
      <c r="M13" s="23">
        <v>3</v>
      </c>
      <c r="N13" s="22">
        <v>46085</v>
      </c>
      <c r="O13" s="22">
        <v>46106</v>
      </c>
      <c r="P13" s="50">
        <f>Tabela2[[#This Row],[data_fim]]-Tabela2[[#This Row],[data_inicio]]</f>
        <v>21</v>
      </c>
      <c r="Q13" s="22">
        <v>46085</v>
      </c>
      <c r="R13" s="22">
        <v>46106</v>
      </c>
      <c r="S13" s="22"/>
      <c r="T13" s="39">
        <v>100</v>
      </c>
      <c r="U13" s="21"/>
      <c r="V13" s="21">
        <v>720</v>
      </c>
      <c r="W13" s="52">
        <f>((Tabela2[[#This Row],[Horas economizadas anuais]] / 12) / 4)</f>
        <v>15</v>
      </c>
      <c r="X13" s="37">
        <f>(_xlfn.XLOOKUP(Tabela2[[#This Row],[setor]],dim_custo_setor_horas!A:A,dim_custo_setor_horas!B:B))*Tabela2[[#This Row],[Horas economizadas anuais]]</f>
        <v>53719.199999999997</v>
      </c>
      <c r="Y13" s="37">
        <f>IF(Tabela2[[#This Row],[progresso_pct]]=100,Tabela2[[#This Row],[Retorno Previsto $]],0)</f>
        <v>53719.199999999997</v>
      </c>
      <c r="Z13" s="37">
        <v>7500</v>
      </c>
      <c r="AA13" s="37"/>
      <c r="AB13" s="37">
        <v>7500</v>
      </c>
      <c r="AC13" s="37"/>
      <c r="AD13" s="47">
        <f>IF(Tabela2[[#This Row],[progresso_pct]] = 100,IFERROR((Tabela2[[#This Row],[Retorno Previsto $]]-Tabela2[[#This Row],[spent_capex]])/Tabela2[[#This Row],[spent_capex]]," ")," ")</f>
        <v>6.16256</v>
      </c>
      <c r="AE13" s="21"/>
      <c r="AF13" s="21">
        <v>3</v>
      </c>
      <c r="AG13" s="21">
        <v>3</v>
      </c>
      <c r="AH13" s="21">
        <v>3</v>
      </c>
      <c r="AI13" s="21" t="s">
        <v>117</v>
      </c>
      <c r="AJ13" s="21" t="s">
        <v>86</v>
      </c>
      <c r="AK13" s="22">
        <v>46085</v>
      </c>
      <c r="AL13" s="22">
        <v>46085</v>
      </c>
      <c r="AM13" s="21">
        <f>IFERROR(Tabela2[[#This Row],[Data Fim PMO]]-Tabela2[[#This Row],[Data Pedido PMO]],"")</f>
        <v>0</v>
      </c>
      <c r="AN13" s="21"/>
      <c r="AO13" s="21"/>
      <c r="AP13" s="21" t="str">
        <f>IF(Tabela2[[#This Row],[Data Fim Prototipagem2]]=0," ",IFERROR(Tabela2[[#This Row],[Data Fim Prototipagem2]]-Tabela2[[#This Row],[Data Inicio Prototipagem]],""))</f>
        <v xml:space="preserve"> </v>
      </c>
      <c r="AQ13" s="37">
        <v>7500</v>
      </c>
      <c r="AR13" s="21"/>
    </row>
    <row r="14" spans="1:44" x14ac:dyDescent="0.35">
      <c r="A14" s="21" t="s">
        <v>118</v>
      </c>
      <c r="B14" s="21" t="s">
        <v>119</v>
      </c>
      <c r="C14" s="21" t="s">
        <v>107</v>
      </c>
      <c r="D14" s="21" t="s">
        <v>120</v>
      </c>
      <c r="E14" s="21">
        <f>_xlfn.XLOOKUP(D14,validacao_lista!D:D,validacao_lista!E:E)</f>
        <v>5</v>
      </c>
      <c r="F14" s="21" t="s">
        <v>108</v>
      </c>
      <c r="G14" s="21">
        <f>IFERROR(_xlfn.XLOOKUP(Tabela2[[#This Row],[setor]],dim_custo_setor_horas!A:A,dim_custo_setor_horas!C:C)," ")</f>
        <v>0</v>
      </c>
      <c r="H14" s="21" t="s">
        <v>69</v>
      </c>
      <c r="I14" s="21" t="s">
        <v>69</v>
      </c>
      <c r="J14" s="21" t="s">
        <v>121</v>
      </c>
      <c r="K14" s="21" t="s">
        <v>122</v>
      </c>
      <c r="L14" s="21" t="s">
        <v>123</v>
      </c>
      <c r="M14" s="23">
        <v>3</v>
      </c>
      <c r="N14" s="22">
        <v>46023</v>
      </c>
      <c r="O14" s="22">
        <v>46172</v>
      </c>
      <c r="P14" s="50">
        <f>Tabela2[[#This Row],[data_fim]]-Tabela2[[#This Row],[data_inicio]]</f>
        <v>149</v>
      </c>
      <c r="Q14" s="22">
        <v>46023</v>
      </c>
      <c r="R14" s="22"/>
      <c r="S14" s="22"/>
      <c r="T14" s="39">
        <v>40</v>
      </c>
      <c r="U14" s="21"/>
      <c r="V14" s="21">
        <f>288*7</f>
        <v>2016</v>
      </c>
      <c r="W14" s="52">
        <f>((Tabela2[[#This Row],[Horas economizadas anuais]] / 12) / 4)</f>
        <v>42</v>
      </c>
      <c r="X14" s="37">
        <f>(_xlfn.XLOOKUP(Tabela2[[#This Row],[setor]],dim_custo_setor_horas!A:A,dim_custo_setor_horas!B:B))*Tabela2[[#This Row],[Horas economizadas anuais]]</f>
        <v>124528.32000000001</v>
      </c>
      <c r="Y14" s="37">
        <f>IF(Tabela2[[#This Row],[progresso_pct]]=100,Tabela2[[#This Row],[Retorno Previsto $]],0)</f>
        <v>0</v>
      </c>
      <c r="Z14" s="57">
        <v>103334.29</v>
      </c>
      <c r="AA14" s="37"/>
      <c r="AB14" s="37">
        <v>9000</v>
      </c>
      <c r="AC14" s="37">
        <v>0</v>
      </c>
      <c r="AD14" s="54" t="str">
        <f>IF(Tabela2[[#This Row],[progresso_pct]] = 100,IFERROR((Tabela2[[#This Row],[Retorno Previsto $]]-Tabela2[[#This Row],[spent_capex]])/Tabela2[[#This Row],[spent_capex]]," ")," ")</f>
        <v xml:space="preserve"> </v>
      </c>
      <c r="AE14" s="21">
        <v>14</v>
      </c>
      <c r="AF14" s="21">
        <v>5</v>
      </c>
      <c r="AG14" s="21">
        <v>3</v>
      </c>
      <c r="AH14" s="21">
        <v>3</v>
      </c>
      <c r="AI14" s="21" t="s">
        <v>124</v>
      </c>
      <c r="AJ14" s="21" t="s">
        <v>86</v>
      </c>
      <c r="AK14" s="22">
        <v>46031</v>
      </c>
      <c r="AL14" s="22">
        <v>46031</v>
      </c>
      <c r="AM14" s="21">
        <f>IFERROR(Tabela2[[#This Row],[Data Fim PMO]]-Tabela2[[#This Row],[Data Pedido PMO]],"")</f>
        <v>0</v>
      </c>
      <c r="AN14" s="21"/>
      <c r="AO14" s="21"/>
      <c r="AP14" s="21" t="str">
        <f>IF(Tabela2[[#This Row],[Data Fim Prototipagem2]]=0," ",IFERROR(Tabela2[[#This Row],[Data Fim Prototipagem2]]-Tabela2[[#This Row],[Data Inicio Prototipagem]],""))</f>
        <v xml:space="preserve"> </v>
      </c>
      <c r="AQ14" s="21"/>
      <c r="AR14" s="21"/>
    </row>
    <row r="15" spans="1:44" x14ac:dyDescent="0.35">
      <c r="A15" s="21" t="s">
        <v>125</v>
      </c>
      <c r="B15" s="21" t="s">
        <v>126</v>
      </c>
      <c r="C15" s="21" t="s">
        <v>107</v>
      </c>
      <c r="D15" s="21" t="s">
        <v>120</v>
      </c>
      <c r="E15" s="21">
        <f>_xlfn.XLOOKUP(D15,validacao_lista!D:D,validacao_lista!E:E)</f>
        <v>5</v>
      </c>
      <c r="F15" s="21" t="s">
        <v>115</v>
      </c>
      <c r="G15" s="21">
        <f>IFERROR(_xlfn.XLOOKUP(Tabela2[[#This Row],[setor]],dim_custo_setor_horas!A:A,dim_custo_setor_horas!C:C)," ")</f>
        <v>0</v>
      </c>
      <c r="H15" s="21" t="s">
        <v>57</v>
      </c>
      <c r="I15" s="21" t="s">
        <v>57</v>
      </c>
      <c r="J15" s="21" t="s">
        <v>127</v>
      </c>
      <c r="K15" s="21" t="s">
        <v>51</v>
      </c>
      <c r="L15" s="21" t="s">
        <v>52</v>
      </c>
      <c r="M15" s="23">
        <v>3</v>
      </c>
      <c r="N15" s="22">
        <v>45992</v>
      </c>
      <c r="O15" s="22">
        <v>46356</v>
      </c>
      <c r="P15" s="50">
        <f>Tabela2[[#This Row],[data_fim]]-Tabela2[[#This Row],[data_inicio]]</f>
        <v>364</v>
      </c>
      <c r="Q15" s="22">
        <v>45992</v>
      </c>
      <c r="R15" s="22"/>
      <c r="S15" s="22"/>
      <c r="T15" s="39">
        <v>35</v>
      </c>
      <c r="U15" s="21"/>
      <c r="V15" s="21">
        <v>9200</v>
      </c>
      <c r="W15" s="52">
        <f>((Tabela2[[#This Row],[Horas economizadas anuais]] / 12) / 4)</f>
        <v>191.66666666666666</v>
      </c>
      <c r="X15" s="37">
        <f>(_xlfn.XLOOKUP(Tabela2[[#This Row],[setor]],dim_custo_setor_horas!A:A,dim_custo_setor_horas!B:B))*Tabela2[[#This Row],[Horas economizadas anuais]]</f>
        <v>601404</v>
      </c>
      <c r="Y15" s="37">
        <f>IF(Tabela2[[#This Row],[progresso_pct]]=100,Tabela2[[#This Row],[Retorno Previsto $]],0)</f>
        <v>0</v>
      </c>
      <c r="Z15" s="37">
        <f>129000+21900+3600+40417.18+100000+19900+96095.6+1310+26500</f>
        <v>438722.78</v>
      </c>
      <c r="AA15" s="57">
        <v>108000</v>
      </c>
      <c r="AB15" s="37">
        <v>47800</v>
      </c>
      <c r="AC15" s="37">
        <v>420</v>
      </c>
      <c r="AD15" s="54" t="str">
        <f>IF(Tabela2[[#This Row],[progresso_pct]] = 100,IFERROR((Tabela2[[#This Row],[Retorno Previsto $]]-Tabela2[[#This Row],[spent_capex]])/Tabela2[[#This Row],[spent_capex]]," ")," ")</f>
        <v xml:space="preserve"> </v>
      </c>
      <c r="AE15" s="21">
        <v>16</v>
      </c>
      <c r="AF15" s="21">
        <v>5</v>
      </c>
      <c r="AG15" s="21">
        <v>5</v>
      </c>
      <c r="AH15" s="21">
        <v>5</v>
      </c>
      <c r="AI15" s="21" t="s">
        <v>128</v>
      </c>
      <c r="AJ15" s="21" t="s">
        <v>86</v>
      </c>
      <c r="AK15" s="22">
        <v>46041</v>
      </c>
      <c r="AL15" s="22">
        <v>46041</v>
      </c>
      <c r="AM15" s="21">
        <f>IFERROR(Tabela2[[#This Row],[Data Fim PMO]]-Tabela2[[#This Row],[Data Pedido PMO]],"")</f>
        <v>0</v>
      </c>
      <c r="AN15" s="21"/>
      <c r="AO15" s="21"/>
      <c r="AP15" s="21" t="str">
        <f>IF(Tabela2[[#This Row],[Data Fim Prototipagem2]]=0," ",IFERROR(Tabela2[[#This Row],[Data Fim Prototipagem2]]-Tabela2[[#This Row],[Data Inicio Prototipagem]],""))</f>
        <v xml:space="preserve"> </v>
      </c>
      <c r="AQ15" s="21"/>
      <c r="AR15" s="21"/>
    </row>
    <row r="16" spans="1:44" x14ac:dyDescent="0.35">
      <c r="A16" s="21" t="s">
        <v>129</v>
      </c>
      <c r="B16" s="21" t="s">
        <v>130</v>
      </c>
      <c r="C16" s="21" t="s">
        <v>107</v>
      </c>
      <c r="D16" s="21" t="s">
        <v>120</v>
      </c>
      <c r="E16" s="21">
        <f>_xlfn.XLOOKUP(D16,validacao_lista!D:D,validacao_lista!E:E)</f>
        <v>5</v>
      </c>
      <c r="F16" s="21" t="s">
        <v>108</v>
      </c>
      <c r="G16" s="21">
        <f>IFERROR(_xlfn.XLOOKUP(Tabela2[[#This Row],[setor]],dim_custo_setor_horas!A:A,dim_custo_setor_horas!C:C)," ")</f>
        <v>0</v>
      </c>
      <c r="H16" s="21" t="s">
        <v>49</v>
      </c>
      <c r="I16" s="21" t="s">
        <v>49</v>
      </c>
      <c r="J16" s="21" t="s">
        <v>49</v>
      </c>
      <c r="K16" s="21" t="s">
        <v>91</v>
      </c>
      <c r="L16" s="21" t="s">
        <v>131</v>
      </c>
      <c r="M16" s="23">
        <v>1</v>
      </c>
      <c r="N16" s="22">
        <v>46054</v>
      </c>
      <c r="O16" s="22">
        <v>46188</v>
      </c>
      <c r="P16" s="50">
        <f>Tabela2[[#This Row],[data_fim]]-Tabela2[[#This Row],[data_inicio]]</f>
        <v>134</v>
      </c>
      <c r="Q16" s="22">
        <v>46054</v>
      </c>
      <c r="R16" s="22"/>
      <c r="S16" s="22"/>
      <c r="T16" s="39">
        <v>5</v>
      </c>
      <c r="U16" s="21" t="s">
        <v>132</v>
      </c>
      <c r="V16" s="21">
        <v>10</v>
      </c>
      <c r="W16" s="52">
        <f>((Tabela2[[#This Row],[Horas economizadas anuais]] / 12) / 4)</f>
        <v>0.20833333333333334</v>
      </c>
      <c r="X16" s="37">
        <f>(_xlfn.XLOOKUP(Tabela2[[#This Row],[setor]],dim_custo_setor_horas!A:A,dim_custo_setor_horas!B:B))*Tabela2[[#This Row],[Horas economizadas anuais]]</f>
        <v>1702.1000000000001</v>
      </c>
      <c r="Y16" s="37">
        <f>IF(Tabela2[[#This Row],[progresso_pct]]=100,Tabela2[[#This Row],[Retorno Previsto $]],0)</f>
        <v>0</v>
      </c>
      <c r="Z16" s="59">
        <v>328265.18</v>
      </c>
      <c r="AA16" s="59">
        <v>18176.52</v>
      </c>
      <c r="AB16" s="37">
        <v>0</v>
      </c>
      <c r="AC16" s="37">
        <v>0</v>
      </c>
      <c r="AD16" s="54" t="str">
        <f>IF(Tabela2[[#This Row],[progresso_pct]] = 100,IFERROR((Tabela2[[#This Row],[Retorno Previsto $]]-Tabela2[[#This Row],[spent_capex]])/Tabela2[[#This Row],[spent_capex]]," ")," ")</f>
        <v xml:space="preserve"> </v>
      </c>
      <c r="AE16" s="21">
        <v>18</v>
      </c>
      <c r="AF16" s="21">
        <v>5</v>
      </c>
      <c r="AG16" s="21">
        <v>5</v>
      </c>
      <c r="AH16" s="21">
        <v>5</v>
      </c>
      <c r="AI16" s="21" t="s">
        <v>133</v>
      </c>
      <c r="AJ16" s="21" t="s">
        <v>86</v>
      </c>
      <c r="AK16" s="22">
        <v>46029</v>
      </c>
      <c r="AL16" s="22">
        <v>46031</v>
      </c>
      <c r="AM16" s="21">
        <f>IFERROR(Tabela2[[#This Row],[Data Fim PMO]]-Tabela2[[#This Row],[Data Pedido PMO]],"")</f>
        <v>2</v>
      </c>
      <c r="AN16" s="21"/>
      <c r="AO16" s="21"/>
      <c r="AP16" s="21" t="str">
        <f>IF(Tabela2[[#This Row],[Data Fim Prototipagem2]]=0," ",IFERROR(Tabela2[[#This Row],[Data Fim Prototipagem2]]-Tabela2[[#This Row],[Data Inicio Prototipagem]],""))</f>
        <v xml:space="preserve"> </v>
      </c>
      <c r="AQ16" s="21"/>
      <c r="AR16" s="21"/>
    </row>
    <row r="17" spans="1:44" x14ac:dyDescent="0.35">
      <c r="A17" s="21" t="s">
        <v>134</v>
      </c>
      <c r="B17" s="21" t="s">
        <v>135</v>
      </c>
      <c r="C17" s="21" t="s">
        <v>107</v>
      </c>
      <c r="D17" s="21" t="s">
        <v>120</v>
      </c>
      <c r="E17" s="21">
        <f>_xlfn.XLOOKUP(D17,validacao_lista!D:D,validacao_lista!E:E)</f>
        <v>5</v>
      </c>
      <c r="F17" s="21" t="s">
        <v>108</v>
      </c>
      <c r="G17" s="21">
        <f>IFERROR(_xlfn.XLOOKUP(Tabela2[[#This Row],[setor]],dim_custo_setor_horas!A:A,dim_custo_setor_horas!C:C)," ")</f>
        <v>0</v>
      </c>
      <c r="H17" s="21" t="s">
        <v>81</v>
      </c>
      <c r="I17" s="21" t="s">
        <v>81</v>
      </c>
      <c r="J17" s="21" t="s">
        <v>136</v>
      </c>
      <c r="K17" s="21" t="s">
        <v>91</v>
      </c>
      <c r="L17" s="21" t="s">
        <v>96</v>
      </c>
      <c r="M17" s="23">
        <v>3</v>
      </c>
      <c r="N17" s="22">
        <v>46054</v>
      </c>
      <c r="O17" s="22">
        <v>46171</v>
      </c>
      <c r="P17" s="50">
        <f>Tabela2[[#This Row],[data_fim]]-Tabela2[[#This Row],[data_inicio]]</f>
        <v>117</v>
      </c>
      <c r="Q17" s="22">
        <v>46054</v>
      </c>
      <c r="R17" s="22"/>
      <c r="S17" s="22"/>
      <c r="T17" s="39">
        <v>5</v>
      </c>
      <c r="U17" s="21"/>
      <c r="V17" s="21">
        <v>2500</v>
      </c>
      <c r="W17" s="52">
        <f>((Tabela2[[#This Row],[Horas economizadas anuais]] / 12) / 4)</f>
        <v>52.083333333333336</v>
      </c>
      <c r="X17" s="37">
        <f>(_xlfn.XLOOKUP(Tabela2[[#This Row],[setor]],dim_custo_setor_horas!A:A,dim_custo_setor_horas!B:B))*Tabela2[[#This Row],[Horas economizadas anuais]]</f>
        <v>118475</v>
      </c>
      <c r="Y17" s="37">
        <f>IF(Tabela2[[#This Row],[progresso_pct]]=100,Tabela2[[#This Row],[Retorno Previsto $]],0)</f>
        <v>0</v>
      </c>
      <c r="Z17" s="59">
        <v>13200</v>
      </c>
      <c r="AA17" s="59">
        <v>98004</v>
      </c>
      <c r="AB17" s="37">
        <v>0</v>
      </c>
      <c r="AC17" s="37">
        <v>0</v>
      </c>
      <c r="AD17" s="54" t="str">
        <f>IF(Tabela2[[#This Row],[progresso_pct]] = 100,IFERROR((Tabela2[[#This Row],[Retorno Previsto $]]-Tabela2[[#This Row],[spent_capex]])/Tabela2[[#This Row],[spent_capex]]," ")," ")</f>
        <v xml:space="preserve"> </v>
      </c>
      <c r="AE17" s="21">
        <v>24</v>
      </c>
      <c r="AF17" s="21">
        <v>3</v>
      </c>
      <c r="AG17" s="21">
        <v>3</v>
      </c>
      <c r="AH17" s="21">
        <v>3</v>
      </c>
      <c r="AI17" s="21" t="s">
        <v>137</v>
      </c>
      <c r="AJ17" s="21" t="s">
        <v>63</v>
      </c>
      <c r="AK17" s="22">
        <v>46031</v>
      </c>
      <c r="AL17" s="22">
        <v>46032</v>
      </c>
      <c r="AM17" s="21">
        <f>IFERROR(Tabela2[[#This Row],[Data Fim PMO]]-Tabela2[[#This Row],[Data Pedido PMO]],"")</f>
        <v>1</v>
      </c>
      <c r="AN17" s="21"/>
      <c r="AO17" s="21"/>
      <c r="AP17" s="21" t="str">
        <f>IF(Tabela2[[#This Row],[Data Fim Prototipagem2]]=0," ",IFERROR(Tabela2[[#This Row],[Data Fim Prototipagem2]]-Tabela2[[#This Row],[Data Inicio Prototipagem]],""))</f>
        <v xml:space="preserve"> </v>
      </c>
      <c r="AQ17" s="21"/>
      <c r="AR17" s="21"/>
    </row>
    <row r="18" spans="1:44" x14ac:dyDescent="0.35">
      <c r="A18" s="21" t="s">
        <v>138</v>
      </c>
      <c r="B18" s="23" t="s">
        <v>3065</v>
      </c>
      <c r="C18" s="21" t="s">
        <v>140</v>
      </c>
      <c r="D18" s="21" t="s">
        <v>120</v>
      </c>
      <c r="E18" s="21">
        <f>_xlfn.XLOOKUP(D18,validacao_lista!D:D,validacao_lista!E:E)</f>
        <v>5</v>
      </c>
      <c r="F18" s="21" t="s">
        <v>108</v>
      </c>
      <c r="G18" s="21">
        <f>IFERROR(_xlfn.XLOOKUP(Tabela2[[#This Row],[setor]],dim_custo_setor_horas!A:A,dim_custo_setor_horas!C:C)," ")</f>
        <v>1</v>
      </c>
      <c r="H18" s="21" t="s">
        <v>49</v>
      </c>
      <c r="I18" s="21" t="s">
        <v>49</v>
      </c>
      <c r="J18" s="21" t="s">
        <v>109</v>
      </c>
      <c r="K18" s="21" t="s">
        <v>141</v>
      </c>
      <c r="L18" s="21" t="s">
        <v>142</v>
      </c>
      <c r="M18" s="21">
        <v>5</v>
      </c>
      <c r="N18" s="22">
        <v>46113</v>
      </c>
      <c r="O18" s="22">
        <v>46174</v>
      </c>
      <c r="P18" s="50">
        <f>Tabela2[[#This Row],[data_fim]]-Tabela2[[#This Row],[data_inicio]]</f>
        <v>61</v>
      </c>
      <c r="Q18" s="22"/>
      <c r="R18" s="22"/>
      <c r="S18" s="22"/>
      <c r="T18" s="39">
        <v>0</v>
      </c>
      <c r="U18" s="21"/>
      <c r="V18" s="21">
        <v>720</v>
      </c>
      <c r="W18" s="52">
        <f>((Tabela2[[#This Row],[Horas economizadas anuais]] / 12) / 4)</f>
        <v>15</v>
      </c>
      <c r="X18" s="37">
        <f>(_xlfn.XLOOKUP(Tabela2[[#This Row],[setor]],dim_custo_setor_horas!A:A,dim_custo_setor_horas!B:B))*Tabela2[[#This Row],[Horas economizadas anuais]]</f>
        <v>85629.6</v>
      </c>
      <c r="Y18" s="37">
        <f>IF(Tabela2[[#This Row],[progresso_pct]]=100,Tabela2[[#This Row],[Retorno Previsto $]],0)</f>
        <v>0</v>
      </c>
      <c r="Z18" s="37"/>
      <c r="AA18" s="37"/>
      <c r="AB18" s="37"/>
      <c r="AC18" s="37"/>
      <c r="AD18" s="47" t="str">
        <f>IF(Tabela2[[#This Row],[progresso_pct]] = 100,IFERROR((Tabela2[[#This Row],[Retorno Previsto $]]-Tabela2[[#This Row],[spent_capex]])/Tabela2[[#This Row],[spent_capex]]," ")," ")</f>
        <v xml:space="preserve"> </v>
      </c>
      <c r="AE18" s="21"/>
      <c r="AF18" s="21">
        <v>5</v>
      </c>
      <c r="AG18" s="21">
        <v>3</v>
      </c>
      <c r="AH18" s="21">
        <v>5</v>
      </c>
      <c r="AI18" s="21" t="s">
        <v>143</v>
      </c>
      <c r="AJ18" s="21" t="s">
        <v>63</v>
      </c>
      <c r="AK18" s="22">
        <v>46030</v>
      </c>
      <c r="AL18" s="22">
        <v>46085</v>
      </c>
      <c r="AM18" s="21">
        <f>IFERROR(Tabela2[[#This Row],[Data Fim PMO]]-Tabela2[[#This Row],[Data Pedido PMO]],"")</f>
        <v>55</v>
      </c>
      <c r="AN18" s="21"/>
      <c r="AO18" s="21"/>
      <c r="AP18" s="21" t="str">
        <f>IF(Tabela2[[#This Row],[Data Fim Prototipagem2]]=0," ",IFERROR(Tabela2[[#This Row],[Data Fim Prototipagem2]]-Tabela2[[#This Row],[Data Inicio Prototipagem]],""))</f>
        <v xml:space="preserve"> </v>
      </c>
      <c r="AQ18" s="21"/>
      <c r="AR18" s="21"/>
    </row>
    <row r="19" spans="1:44" x14ac:dyDescent="0.35">
      <c r="A19" s="21" t="s">
        <v>144</v>
      </c>
      <c r="B19" s="21" t="s">
        <v>145</v>
      </c>
      <c r="C19" s="21" t="s">
        <v>146</v>
      </c>
      <c r="D19" s="21" t="s">
        <v>47</v>
      </c>
      <c r="E19" s="21">
        <f>_xlfn.XLOOKUP(D19,validacao_lista!D:D,validacao_lista!E:E)</f>
        <v>8</v>
      </c>
      <c r="F19" s="60" t="s">
        <v>48</v>
      </c>
      <c r="G19" s="21">
        <f>IFERROR(_xlfn.XLOOKUP(Tabela2[[#This Row],[setor]],dim_custo_setor_horas!A:A,dim_custo_setor_horas!C:C)," ")</f>
        <v>0</v>
      </c>
      <c r="H19" s="21" t="s">
        <v>81</v>
      </c>
      <c r="I19" s="21" t="s">
        <v>81</v>
      </c>
      <c r="J19" s="21" t="s">
        <v>136</v>
      </c>
      <c r="K19" s="21" t="s">
        <v>91</v>
      </c>
      <c r="L19" s="21" t="s">
        <v>96</v>
      </c>
      <c r="M19" s="23">
        <v>3</v>
      </c>
      <c r="N19" s="22">
        <v>46054</v>
      </c>
      <c r="O19" s="22">
        <v>46127</v>
      </c>
      <c r="P19" s="50">
        <f>Tabela2[[#This Row],[data_fim]]-Tabela2[[#This Row],[data_inicio]]</f>
        <v>73</v>
      </c>
      <c r="Q19" s="22">
        <v>46054</v>
      </c>
      <c r="R19" s="22">
        <v>46127</v>
      </c>
      <c r="S19" s="22"/>
      <c r="T19" s="39">
        <v>100</v>
      </c>
      <c r="U19" s="21"/>
      <c r="V19" s="21">
        <v>1</v>
      </c>
      <c r="W19" s="52">
        <f>((Tabela2[[#This Row],[Horas economizadas anuais]] / 12) / 4)</f>
        <v>2.0833333333333332E-2</v>
      </c>
      <c r="X19" s="37">
        <f>(_xlfn.XLOOKUP(Tabela2[[#This Row],[setor]],dim_custo_setor_horas!A:A,dim_custo_setor_horas!B:B))*Tabela2[[#This Row],[Horas economizadas anuais]]</f>
        <v>47.39</v>
      </c>
      <c r="Y19" s="37">
        <f>IF(Tabela2[[#This Row],[progresso_pct]]=100,Tabela2[[#This Row],[Retorno Previsto $]],0)</f>
        <v>47.39</v>
      </c>
      <c r="Z19" s="59">
        <v>80000</v>
      </c>
      <c r="AA19" s="59"/>
      <c r="AB19" s="37">
        <v>70000</v>
      </c>
      <c r="AC19" s="37">
        <v>0</v>
      </c>
      <c r="AD19" s="54">
        <f>IF(Tabela2[[#This Row],[progresso_pct]] = 100,IFERROR((Tabela2[[#This Row],[Retorno Previsto $]]-Tabela2[[#This Row],[spent_capex]])/Tabela2[[#This Row],[spent_capex]]," ")," ")</f>
        <v>-0.99932299999999996</v>
      </c>
      <c r="AE19" s="21">
        <v>24</v>
      </c>
      <c r="AF19" s="21">
        <v>3</v>
      </c>
      <c r="AG19" s="21">
        <v>3</v>
      </c>
      <c r="AH19" s="21">
        <v>3</v>
      </c>
      <c r="AI19" s="21" t="s">
        <v>147</v>
      </c>
      <c r="AJ19" s="21" t="s">
        <v>63</v>
      </c>
      <c r="AK19" s="22"/>
      <c r="AL19" s="22"/>
      <c r="AM19" s="21">
        <f>IFERROR(Tabela2[[#This Row],[Data Fim PMO]]-Tabela2[[#This Row],[Data Pedido PMO]],"")</f>
        <v>0</v>
      </c>
      <c r="AN19" s="21"/>
      <c r="AO19" s="21"/>
      <c r="AP19" s="21" t="str">
        <f>IF(Tabela2[[#This Row],[Data Fim Prototipagem2]]=0," ",IFERROR(Tabela2[[#This Row],[Data Fim Prototipagem2]]-Tabela2[[#This Row],[Data Inicio Prototipagem]],""))</f>
        <v xml:space="preserve"> </v>
      </c>
      <c r="AQ19" s="21"/>
      <c r="AR19" s="21"/>
    </row>
    <row r="20" spans="1:44" x14ac:dyDescent="0.35">
      <c r="A20" s="21" t="s">
        <v>148</v>
      </c>
      <c r="B20" s="21" t="s">
        <v>149</v>
      </c>
      <c r="C20" s="21" t="s">
        <v>61</v>
      </c>
      <c r="D20" s="21" t="s">
        <v>150</v>
      </c>
      <c r="E20" s="21">
        <f>_xlfn.XLOOKUP(D20,validacao_lista!D:D,validacao_lista!E:E)</f>
        <v>4</v>
      </c>
      <c r="F20" s="21" t="s">
        <v>115</v>
      </c>
      <c r="G20" s="21">
        <f>IFERROR(_xlfn.XLOOKUP(Tabela2[[#This Row],[setor]],dim_custo_setor_horas!A:A,dim_custo_setor_horas!C:C)," ")</f>
        <v>0</v>
      </c>
      <c r="H20" s="21" t="s">
        <v>69</v>
      </c>
      <c r="I20" s="21" t="s">
        <v>69</v>
      </c>
      <c r="J20" s="21" t="s">
        <v>151</v>
      </c>
      <c r="K20" s="21" t="s">
        <v>71</v>
      </c>
      <c r="L20" s="21" t="s">
        <v>72</v>
      </c>
      <c r="M20" s="21">
        <v>3</v>
      </c>
      <c r="N20" s="22">
        <v>46105</v>
      </c>
      <c r="O20" s="22">
        <v>46164</v>
      </c>
      <c r="P20" s="50">
        <f>Tabela2[[#This Row],[data_fim]]-Tabela2[[#This Row],[data_inicio]]</f>
        <v>59</v>
      </c>
      <c r="Q20" s="22">
        <v>46105</v>
      </c>
      <c r="R20" s="22"/>
      <c r="S20" s="22"/>
      <c r="T20" s="39">
        <v>5</v>
      </c>
      <c r="U20" s="21"/>
      <c r="V20" s="21">
        <v>384</v>
      </c>
      <c r="W20" s="50">
        <f>((Tabela2[[#This Row],[Horas economizadas anuais]] / 12) / 4)</f>
        <v>8</v>
      </c>
      <c r="X20" s="37">
        <f>(_xlfn.XLOOKUP(Tabela2[[#This Row],[setor]],dim_custo_setor_horas!A:A,dim_custo_setor_horas!B:B))*Tabela2[[#This Row],[Horas economizadas anuais]]</f>
        <v>28650.239999999998</v>
      </c>
      <c r="Y20" s="37">
        <f>IF(Tabela2[[#This Row],[progresso_pct]]=100,Tabela2[[#This Row],[Retorno Previsto $]],0)</f>
        <v>0</v>
      </c>
      <c r="Z20" s="37">
        <v>10000</v>
      </c>
      <c r="AA20" s="37"/>
      <c r="AB20" s="37"/>
      <c r="AC20" s="37"/>
      <c r="AD20" s="47" t="str">
        <f>IF(Tabela2[[#This Row],[progresso_pct]] = 100,IFERROR((Tabela2[[#This Row],[Retorno Previsto $]]-Tabela2[[#This Row],[spent_capex]])/Tabela2[[#This Row],[spent_capex]]," ")," ")</f>
        <v xml:space="preserve"> </v>
      </c>
      <c r="AE20" s="21"/>
      <c r="AF20" s="21">
        <v>3</v>
      </c>
      <c r="AG20" s="21">
        <v>3</v>
      </c>
      <c r="AH20" s="21">
        <v>3</v>
      </c>
      <c r="AI20" s="21" t="s">
        <v>152</v>
      </c>
      <c r="AJ20" s="21" t="s">
        <v>86</v>
      </c>
      <c r="AK20" s="22">
        <v>46105</v>
      </c>
      <c r="AL20" s="22">
        <v>46106</v>
      </c>
      <c r="AM20" s="21">
        <f>IFERROR(Tabela2[[#This Row],[Data Fim PMO]]-Tabela2[[#This Row],[Data Pedido PMO]],"")</f>
        <v>1</v>
      </c>
      <c r="AN20" s="21"/>
      <c r="AO20" s="21"/>
      <c r="AP20" s="21" t="str">
        <f>IF(Tabela2[[#This Row],[Data Fim Prototipagem2]]=0," ",IFERROR(Tabela2[[#This Row],[Data Fim Prototipagem2]]-Tabela2[[#This Row],[Data Inicio Prototipagem]],""))</f>
        <v xml:space="preserve"> </v>
      </c>
      <c r="AQ20" s="37">
        <v>10000</v>
      </c>
      <c r="AR20" s="21"/>
    </row>
    <row r="21" spans="1:44" x14ac:dyDescent="0.35">
      <c r="A21" s="21" t="s">
        <v>153</v>
      </c>
      <c r="B21" s="23" t="s">
        <v>154</v>
      </c>
      <c r="C21" s="21" t="s">
        <v>46</v>
      </c>
      <c r="D21" s="21" t="s">
        <v>155</v>
      </c>
      <c r="E21" s="21">
        <f>_xlfn.XLOOKUP(D21,validacao_lista!D:D,validacao_lista!E:E)</f>
        <v>3</v>
      </c>
      <c r="F21" s="21" t="s">
        <v>108</v>
      </c>
      <c r="G21" s="21">
        <f>IFERROR(_xlfn.XLOOKUP(Tabela2[[#This Row],[setor]],dim_custo_setor_horas!A:A,dim_custo_setor_horas!C:C)," ")</f>
        <v>0</v>
      </c>
      <c r="H21" s="21" t="s">
        <v>57</v>
      </c>
      <c r="I21" s="21" t="s">
        <v>57</v>
      </c>
      <c r="J21" s="21" t="s">
        <v>156</v>
      </c>
      <c r="K21" s="21" t="s">
        <v>157</v>
      </c>
      <c r="L21" s="21" t="s">
        <v>158</v>
      </c>
      <c r="M21" s="21">
        <v>5</v>
      </c>
      <c r="N21" s="22">
        <v>46076</v>
      </c>
      <c r="O21" s="22">
        <v>46135</v>
      </c>
      <c r="P21" s="50">
        <f>Tabela2[[#This Row],[data_fim]]-Tabela2[[#This Row],[data_inicio]]</f>
        <v>59</v>
      </c>
      <c r="Q21" s="22">
        <v>46076</v>
      </c>
      <c r="R21" s="22"/>
      <c r="S21" s="22"/>
      <c r="T21" s="39">
        <v>2</v>
      </c>
      <c r="U21" s="21" t="s">
        <v>159</v>
      </c>
      <c r="V21" s="21">
        <v>576</v>
      </c>
      <c r="W21" s="52">
        <f>((Tabela2[[#This Row],[Horas economizadas anuais]] / 12) / 4)</f>
        <v>12</v>
      </c>
      <c r="X21" s="37">
        <f>(_xlfn.XLOOKUP(Tabela2[[#This Row],[setor]],dim_custo_setor_horas!A:A,dim_custo_setor_horas!B:B))*Tabela2[[#This Row],[Horas economizadas anuais]]</f>
        <v>40573.440000000002</v>
      </c>
      <c r="Y21" s="37">
        <f>IF(Tabela2[[#This Row],[progresso_pct]]=100,Tabela2[[#This Row],[Retorno Previsto $]],0)</f>
        <v>0</v>
      </c>
      <c r="Z21" s="37">
        <f>Tabela2[[#This Row],[duração_prev_dias]]*100</f>
        <v>5900</v>
      </c>
      <c r="AA21" s="37"/>
      <c r="AB21" s="37"/>
      <c r="AC21" s="37"/>
      <c r="AD21" s="54" t="str">
        <f>IF(Tabela2[[#This Row],[progresso_pct]] = 100,IFERROR((Tabela2[[#This Row],[Retorno Previsto $]]-Tabela2[[#This Row],[spent_capex]])/Tabela2[[#This Row],[spent_capex]]," ")," ")</f>
        <v xml:space="preserve"> </v>
      </c>
      <c r="AE21" s="21"/>
      <c r="AF21" s="21">
        <v>3</v>
      </c>
      <c r="AG21" s="21">
        <v>3</v>
      </c>
      <c r="AH21" s="21">
        <v>3</v>
      </c>
      <c r="AI21" s="21" t="s">
        <v>160</v>
      </c>
      <c r="AJ21" s="21" t="s">
        <v>63</v>
      </c>
      <c r="AK21" s="22"/>
      <c r="AL21" s="22" t="s">
        <v>54</v>
      </c>
      <c r="AM21" s="21" t="str">
        <f>IFERROR(Tabela2[[#This Row],[Data Fim PMO]]-Tabela2[[#This Row],[Data Pedido PMO]],"")</f>
        <v/>
      </c>
      <c r="AN21" s="21"/>
      <c r="AO21" s="21"/>
      <c r="AP21" s="21" t="str">
        <f>IF(Tabela2[[#This Row],[Data Fim Prototipagem2]]=0," ",IFERROR(Tabela2[[#This Row],[Data Fim Prototipagem2]]-Tabela2[[#This Row],[Data Inicio Prototipagem]],""))</f>
        <v xml:space="preserve"> </v>
      </c>
      <c r="AQ21" s="21"/>
      <c r="AR21" s="21"/>
    </row>
    <row r="22" spans="1:44" x14ac:dyDescent="0.35">
      <c r="A22" s="21" t="s">
        <v>161</v>
      </c>
      <c r="B22" s="21" t="s">
        <v>162</v>
      </c>
      <c r="C22" s="21" t="s">
        <v>107</v>
      </c>
      <c r="D22" s="21" t="s">
        <v>155</v>
      </c>
      <c r="E22" s="21">
        <f>_xlfn.XLOOKUP(D22,validacao_lista!D:D,validacao_lista!E:E)</f>
        <v>3</v>
      </c>
      <c r="F22" s="21" t="s">
        <v>163</v>
      </c>
      <c r="G22" s="21">
        <f>IFERROR(_xlfn.XLOOKUP(Tabela2[[#This Row],[setor]],dim_custo_setor_horas!A:A,dim_custo_setor_horas!C:C)," ")</f>
        <v>0</v>
      </c>
      <c r="H22" s="21" t="s">
        <v>69</v>
      </c>
      <c r="I22" s="21" t="s">
        <v>49</v>
      </c>
      <c r="J22" s="21" t="s">
        <v>164</v>
      </c>
      <c r="K22" s="21" t="s">
        <v>71</v>
      </c>
      <c r="L22" s="21" t="s">
        <v>72</v>
      </c>
      <c r="M22" s="23">
        <v>3</v>
      </c>
      <c r="N22" s="22">
        <v>45992</v>
      </c>
      <c r="O22" s="22">
        <v>46266</v>
      </c>
      <c r="P22" s="50">
        <f>Tabela2[[#This Row],[data_fim]]-Tabela2[[#This Row],[data_inicio]]</f>
        <v>274</v>
      </c>
      <c r="Q22" s="22">
        <v>45992</v>
      </c>
      <c r="R22" s="22"/>
      <c r="S22" s="22"/>
      <c r="T22" s="39">
        <v>5</v>
      </c>
      <c r="U22" s="21"/>
      <c r="V22" s="21">
        <v>9200</v>
      </c>
      <c r="W22" s="52">
        <f>((Tabela2[[#This Row],[Horas economizadas anuais]] / 12) / 4)</f>
        <v>191.66666666666666</v>
      </c>
      <c r="X22" s="37">
        <f>(_xlfn.XLOOKUP(Tabela2[[#This Row],[setor]],dim_custo_setor_horas!A:A,dim_custo_setor_horas!B:B))*Tabela2[[#This Row],[Horas economizadas anuais]]</f>
        <v>686412</v>
      </c>
      <c r="Y22" s="37">
        <f>IF(Tabela2[[#This Row],[progresso_pct]]=100,Tabela2[[#This Row],[Retorno Previsto $]],0)</f>
        <v>0</v>
      </c>
      <c r="Z22" s="37"/>
      <c r="AA22" s="37"/>
      <c r="AB22" s="37"/>
      <c r="AC22" s="37"/>
      <c r="AD22" s="54" t="str">
        <f>IF(Tabela2[[#This Row],[progresso_pct]] = 100,IFERROR((Tabela2[[#This Row],[Retorno Previsto $]]-Tabela2[[#This Row],[spent_capex]])/Tabela2[[#This Row],[spent_capex]]," ")," ")</f>
        <v xml:space="preserve"> </v>
      </c>
      <c r="AE22" s="21">
        <v>15</v>
      </c>
      <c r="AF22" s="21">
        <v>5</v>
      </c>
      <c r="AG22" s="21">
        <v>5</v>
      </c>
      <c r="AH22" s="21">
        <v>5</v>
      </c>
      <c r="AI22" s="21" t="s">
        <v>165</v>
      </c>
      <c r="AJ22" s="21" t="s">
        <v>86</v>
      </c>
      <c r="AK22" s="22">
        <v>46035</v>
      </c>
      <c r="AL22" s="22">
        <v>46057</v>
      </c>
      <c r="AM22" s="21">
        <f>IFERROR(Tabela2[[#This Row],[Data Fim PMO]]-Tabela2[[#This Row],[Data Pedido PMO]],"")</f>
        <v>22</v>
      </c>
      <c r="AN22" s="21"/>
      <c r="AO22" s="21"/>
      <c r="AP22" s="21" t="str">
        <f>IF(Tabela2[[#This Row],[Data Fim Prototipagem2]]=0," ",IFERROR(Tabela2[[#This Row],[Data Fim Prototipagem2]]-Tabela2[[#This Row],[Data Inicio Prototipagem]],""))</f>
        <v xml:space="preserve"> </v>
      </c>
      <c r="AQ22" s="21"/>
      <c r="AR22" s="21"/>
    </row>
    <row r="23" spans="1:44" x14ac:dyDescent="0.35">
      <c r="A23" s="21" t="s">
        <v>166</v>
      </c>
      <c r="B23" s="23" t="s">
        <v>167</v>
      </c>
      <c r="C23" s="21" t="s">
        <v>61</v>
      </c>
      <c r="D23" s="21" t="s">
        <v>155</v>
      </c>
      <c r="E23" s="21">
        <f>_xlfn.XLOOKUP(D23,validacao_lista!D:D,validacao_lista!E:E)</f>
        <v>3</v>
      </c>
      <c r="F23" s="21" t="s">
        <v>115</v>
      </c>
      <c r="G23" s="21">
        <f>IFERROR(_xlfn.XLOOKUP(Tabela2[[#This Row],[setor]],dim_custo_setor_horas!A:A,dim_custo_setor_horas!C:C)," ")</f>
        <v>0</v>
      </c>
      <c r="H23" s="21" t="s">
        <v>69</v>
      </c>
      <c r="I23" s="21" t="s">
        <v>69</v>
      </c>
      <c r="J23" s="21" t="s">
        <v>168</v>
      </c>
      <c r="K23" s="21" t="s">
        <v>91</v>
      </c>
      <c r="L23" s="21" t="s">
        <v>96</v>
      </c>
      <c r="M23" s="21">
        <v>5</v>
      </c>
      <c r="N23" s="22">
        <v>46062</v>
      </c>
      <c r="O23" s="22">
        <v>46142</v>
      </c>
      <c r="P23" s="50">
        <f>Tabela2[[#This Row],[data_fim]]-Tabela2[[#This Row],[data_inicio]]</f>
        <v>80</v>
      </c>
      <c r="Q23" s="22">
        <v>46062</v>
      </c>
      <c r="R23" s="22"/>
      <c r="S23" s="22"/>
      <c r="T23" s="39">
        <v>8</v>
      </c>
      <c r="U23" s="21"/>
      <c r="V23" s="21">
        <v>720</v>
      </c>
      <c r="W23" s="52">
        <f>((Tabela2[[#This Row],[Horas economizadas anuais]] / 12) / 4)</f>
        <v>15</v>
      </c>
      <c r="X23" s="37">
        <f>(_xlfn.XLOOKUP(Tabela2[[#This Row],[setor]],dim_custo_setor_horas!A:A,dim_custo_setor_horas!B:B))*Tabela2[[#This Row],[Horas economizadas anuais]]</f>
        <v>34120.800000000003</v>
      </c>
      <c r="Y23" s="37">
        <f>IF(Tabela2[[#This Row],[progresso_pct]]=100,Tabela2[[#This Row],[Retorno Previsto $]],0)</f>
        <v>0</v>
      </c>
      <c r="Z23" s="37">
        <v>10000</v>
      </c>
      <c r="AA23" s="37"/>
      <c r="AB23" s="37"/>
      <c r="AC23" s="37"/>
      <c r="AD23" s="54" t="str">
        <f>IF(Tabela2[[#This Row],[progresso_pct]] = 100,IFERROR((Tabela2[[#This Row],[Retorno Previsto $]]-Tabela2[[#This Row],[spent_capex]])/Tabela2[[#This Row],[spent_capex]]," ")," ")</f>
        <v xml:space="preserve"> </v>
      </c>
      <c r="AE23" s="21"/>
      <c r="AF23" s="21">
        <v>1</v>
      </c>
      <c r="AG23" s="21">
        <v>5</v>
      </c>
      <c r="AH23" s="21">
        <v>1</v>
      </c>
      <c r="AI23" s="21" t="s">
        <v>169</v>
      </c>
      <c r="AJ23" s="21" t="s">
        <v>63</v>
      </c>
      <c r="AK23" s="22">
        <v>46037</v>
      </c>
      <c r="AL23" s="22">
        <v>46085</v>
      </c>
      <c r="AM23" s="21">
        <f>IFERROR(Tabela2[[#This Row],[Data Fim PMO]]-Tabela2[[#This Row],[Data Pedido PMO]],"")</f>
        <v>48</v>
      </c>
      <c r="AN23" s="21"/>
      <c r="AO23" s="21"/>
      <c r="AP23" s="21" t="str">
        <f>IF(Tabela2[[#This Row],[Data Fim Prototipagem2]]=0," ",IFERROR(Tabela2[[#This Row],[Data Fim Prototipagem2]]-Tabela2[[#This Row],[Data Inicio Prototipagem]],""))</f>
        <v xml:space="preserve"> </v>
      </c>
      <c r="AQ23" s="37">
        <v>10000</v>
      </c>
      <c r="AR23" s="21"/>
    </row>
    <row r="24" spans="1:44" x14ac:dyDescent="0.35">
      <c r="A24" s="21" t="s">
        <v>170</v>
      </c>
      <c r="B24" s="23" t="s">
        <v>171</v>
      </c>
      <c r="C24" s="21" t="s">
        <v>46</v>
      </c>
      <c r="D24" s="21" t="s">
        <v>155</v>
      </c>
      <c r="E24" s="21">
        <f>_xlfn.XLOOKUP(D24,validacao_lista!D:D,validacao_lista!E:E)</f>
        <v>3</v>
      </c>
      <c r="F24" s="21" t="s">
        <v>115</v>
      </c>
      <c r="G24" s="21">
        <f>IFERROR(_xlfn.XLOOKUP(Tabela2[[#This Row],[setor]],dim_custo_setor_horas!A:A,dim_custo_setor_horas!C:C)," ")</f>
        <v>0</v>
      </c>
      <c r="H24" s="21" t="s">
        <v>57</v>
      </c>
      <c r="I24" s="21" t="s">
        <v>57</v>
      </c>
      <c r="J24" s="21" t="s">
        <v>172</v>
      </c>
      <c r="K24" s="21" t="s">
        <v>51</v>
      </c>
      <c r="L24" s="21" t="s">
        <v>52</v>
      </c>
      <c r="M24" s="21">
        <v>3</v>
      </c>
      <c r="N24" s="22">
        <v>46118</v>
      </c>
      <c r="O24" s="22">
        <v>46178</v>
      </c>
      <c r="P24" s="50">
        <f>Tabela2[[#This Row],[data_fim]]-Tabela2[[#This Row],[data_inicio]]</f>
        <v>60</v>
      </c>
      <c r="Q24" s="22"/>
      <c r="R24" s="22"/>
      <c r="S24" s="22"/>
      <c r="T24" s="39">
        <v>0</v>
      </c>
      <c r="U24" s="21"/>
      <c r="V24" s="21">
        <v>416</v>
      </c>
      <c r="W24" s="50">
        <f>((Tabela2[[#This Row],[Horas economizadas anuais]] / 12) / 4)</f>
        <v>8.6666666666666661</v>
      </c>
      <c r="X24" s="37">
        <f>(_xlfn.XLOOKUP(Tabela2[[#This Row],[setor]],dim_custo_setor_horas!A:A,dim_custo_setor_horas!B:B))*Tabela2[[#This Row],[Horas economizadas anuais]]</f>
        <v>27193.920000000002</v>
      </c>
      <c r="Y24" s="37">
        <f>IF(Tabela2[[#This Row],[progresso_pct]]=100,Tabela2[[#This Row],[Retorno Previsto $]],0)</f>
        <v>0</v>
      </c>
      <c r="Z24" s="37">
        <v>5000</v>
      </c>
      <c r="AA24" s="37"/>
      <c r="AB24" s="37"/>
      <c r="AC24" s="37"/>
      <c r="AD24" s="47" t="str">
        <f>IF(Tabela2[[#This Row],[progresso_pct]] = 100,IFERROR((Tabela2[[#This Row],[Retorno Previsto $]]-Tabela2[[#This Row],[spent_capex]])/Tabela2[[#This Row],[spent_capex]]," ")," ")</f>
        <v xml:space="preserve"> </v>
      </c>
      <c r="AE24" s="21"/>
      <c r="AF24" s="21">
        <v>3</v>
      </c>
      <c r="AG24" s="21">
        <v>3</v>
      </c>
      <c r="AH24" s="21">
        <v>3</v>
      </c>
      <c r="AI24" s="21" t="s">
        <v>173</v>
      </c>
      <c r="AJ24" s="21"/>
      <c r="AK24" s="21"/>
      <c r="AL24" s="21"/>
      <c r="AM24" s="21">
        <f>IFERROR(Tabela2[[#This Row],[Data Fim PMO]]-Tabela2[[#This Row],[Data Pedido PMO]],"")</f>
        <v>0</v>
      </c>
      <c r="AN24" s="21"/>
      <c r="AO24" s="21"/>
      <c r="AP24" s="21" t="str">
        <f>IF(Tabela2[[#This Row],[Data Fim Prototipagem2]]=0," ",IFERROR(Tabela2[[#This Row],[Data Fim Prototipagem2]]-Tabela2[[#This Row],[Data Inicio Prototipagem]],""))</f>
        <v xml:space="preserve"> </v>
      </c>
      <c r="AQ24" s="21"/>
      <c r="AR24" s="21"/>
    </row>
    <row r="25" spans="1:44" x14ac:dyDescent="0.35">
      <c r="A25" s="21" t="s">
        <v>174</v>
      </c>
      <c r="B25" s="23" t="s">
        <v>175</v>
      </c>
      <c r="C25" s="21" t="s">
        <v>46</v>
      </c>
      <c r="D25" s="21" t="s">
        <v>155</v>
      </c>
      <c r="E25" s="21">
        <f>_xlfn.XLOOKUP(D25,validacao_lista!D:D,validacao_lista!E:E)</f>
        <v>3</v>
      </c>
      <c r="F25" s="21" t="s">
        <v>115</v>
      </c>
      <c r="G25" s="21">
        <f>IFERROR(_xlfn.XLOOKUP(Tabela2[[#This Row],[setor]],dim_custo_setor_horas!A:A,dim_custo_setor_horas!C:C)," ")</f>
        <v>0</v>
      </c>
      <c r="H25" s="21" t="s">
        <v>49</v>
      </c>
      <c r="I25" s="21" t="s">
        <v>49</v>
      </c>
      <c r="J25" s="21" t="s">
        <v>176</v>
      </c>
      <c r="K25" s="21" t="s">
        <v>177</v>
      </c>
      <c r="L25" s="21" t="s">
        <v>178</v>
      </c>
      <c r="M25" s="21">
        <v>3</v>
      </c>
      <c r="N25" s="22">
        <v>46118</v>
      </c>
      <c r="O25" s="22">
        <v>46178</v>
      </c>
      <c r="P25" s="50">
        <f>Tabela2[[#This Row],[data_fim]]-Tabela2[[#This Row],[data_inicio]]</f>
        <v>60</v>
      </c>
      <c r="Q25" s="22"/>
      <c r="R25" s="22"/>
      <c r="S25" s="22"/>
      <c r="T25" s="39">
        <v>0</v>
      </c>
      <c r="U25" s="21"/>
      <c r="V25" s="21">
        <v>416</v>
      </c>
      <c r="W25" s="50">
        <f>((Tabela2[[#This Row],[Horas economizadas anuais]] / 12) / 4)</f>
        <v>8.6666666666666661</v>
      </c>
      <c r="X25" s="37">
        <f>(_xlfn.XLOOKUP(Tabela2[[#This Row],[setor]],dim_custo_setor_horas!A:A,dim_custo_setor_horas!B:B))*Tabela2[[#This Row],[Horas economizadas anuais]]</f>
        <v>52170.559999999998</v>
      </c>
      <c r="Y25" s="37">
        <f>IF(Tabela2[[#This Row],[progresso_pct]]=100,Tabela2[[#This Row],[Retorno Previsto $]],0)</f>
        <v>0</v>
      </c>
      <c r="Z25" s="37">
        <v>5000</v>
      </c>
      <c r="AA25" s="37"/>
      <c r="AB25" s="37"/>
      <c r="AC25" s="37"/>
      <c r="AD25" s="47" t="str">
        <f>IF(Tabela2[[#This Row],[progresso_pct]] = 100,IFERROR((Tabela2[[#This Row],[Retorno Previsto $]]-Tabela2[[#This Row],[spent_capex]])/Tabela2[[#This Row],[spent_capex]]," ")," ")</f>
        <v xml:space="preserve"> </v>
      </c>
      <c r="AE25" s="21"/>
      <c r="AF25" s="21">
        <v>3</v>
      </c>
      <c r="AG25" s="21">
        <v>3</v>
      </c>
      <c r="AH25" s="21">
        <v>3</v>
      </c>
      <c r="AI25" s="21" t="s">
        <v>179</v>
      </c>
      <c r="AJ25" s="21" t="s">
        <v>86</v>
      </c>
      <c r="AK25" s="22">
        <v>46118</v>
      </c>
      <c r="AL25" s="22">
        <v>46178</v>
      </c>
      <c r="AM25" s="21">
        <f>IFERROR(Tabela2[[#This Row],[Data Fim PMO]]-Tabela2[[#This Row],[Data Pedido PMO]],"")</f>
        <v>60</v>
      </c>
      <c r="AN25" s="21"/>
      <c r="AO25" s="21"/>
      <c r="AP25" s="21" t="str">
        <f>IF(Tabela2[[#This Row],[Data Fim Prototipagem2]]=0," ",IFERROR(Tabela2[[#This Row],[Data Fim Prototipagem2]]-Tabela2[[#This Row],[Data Inicio Prototipagem]],""))</f>
        <v xml:space="preserve"> </v>
      </c>
      <c r="AQ25" s="21"/>
      <c r="AR25" s="21"/>
    </row>
    <row r="26" spans="1:44" x14ac:dyDescent="0.35">
      <c r="A26" s="21" t="s">
        <v>180</v>
      </c>
      <c r="B26" s="23" t="s">
        <v>181</v>
      </c>
      <c r="C26" s="21" t="s">
        <v>107</v>
      </c>
      <c r="D26" s="21" t="s">
        <v>182</v>
      </c>
      <c r="E26" s="21">
        <f>_xlfn.XLOOKUP(D26,validacao_lista!D:D,validacao_lista!E:E)</f>
        <v>1</v>
      </c>
      <c r="F26" s="21" t="s">
        <v>163</v>
      </c>
      <c r="G26" s="21">
        <f>IFERROR(_xlfn.XLOOKUP(Tabela2[[#This Row],[setor]],dim_custo_setor_horas!A:A,dim_custo_setor_horas!C:C)," ")</f>
        <v>0</v>
      </c>
      <c r="H26" s="21" t="s">
        <v>57</v>
      </c>
      <c r="I26" s="21" t="s">
        <v>57</v>
      </c>
      <c r="J26" s="21" t="s">
        <v>50</v>
      </c>
      <c r="K26" s="21" t="s">
        <v>51</v>
      </c>
      <c r="L26" s="21" t="s">
        <v>52</v>
      </c>
      <c r="M26" s="23">
        <v>3</v>
      </c>
      <c r="N26" s="22">
        <v>46113</v>
      </c>
      <c r="O26" s="22">
        <v>46174</v>
      </c>
      <c r="P26" s="50">
        <f>Tabela2[[#This Row],[data_fim]]-Tabela2[[#This Row],[data_inicio]]</f>
        <v>61</v>
      </c>
      <c r="Q26" s="22"/>
      <c r="R26" s="22"/>
      <c r="S26" s="22"/>
      <c r="T26" s="39">
        <v>10</v>
      </c>
      <c r="U26" s="21"/>
      <c r="V26" s="21"/>
      <c r="W26" s="52">
        <f>((Tabela2[[#This Row],[Horas economizadas anuais]] / 12) / 4)</f>
        <v>0</v>
      </c>
      <c r="X26" s="37">
        <f>(_xlfn.XLOOKUP(Tabela2[[#This Row],[setor]],dim_custo_setor_horas!A:A,dim_custo_setor_horas!B:B))*Tabela2[[#This Row],[Horas economizadas anuais]]</f>
        <v>0</v>
      </c>
      <c r="Y26" s="37">
        <f>IF(Tabela2[[#This Row],[progresso_pct]]=100,Tabela2[[#This Row],[Retorno Previsto $]],0)</f>
        <v>0</v>
      </c>
      <c r="Z26" s="37"/>
      <c r="AA26" s="37"/>
      <c r="AB26" s="37"/>
      <c r="AC26" s="37"/>
      <c r="AD26" s="54" t="str">
        <f>IF(Tabela2[[#This Row],[progresso_pct]] = 100,IFERROR((Tabela2[[#This Row],[Retorno Previsto $]]-Tabela2[[#This Row],[spent_capex]])/Tabela2[[#This Row],[spent_capex]]," ")," ")</f>
        <v xml:space="preserve"> </v>
      </c>
      <c r="AE26" s="21">
        <v>16</v>
      </c>
      <c r="AF26" s="21">
        <v>5</v>
      </c>
      <c r="AG26" s="21">
        <v>3</v>
      </c>
      <c r="AH26" s="21">
        <v>3</v>
      </c>
      <c r="AI26" s="21" t="s">
        <v>181</v>
      </c>
      <c r="AJ26" s="21" t="s">
        <v>86</v>
      </c>
      <c r="AK26" s="22"/>
      <c r="AL26" s="22" t="s">
        <v>54</v>
      </c>
      <c r="AM26" s="21" t="str">
        <f>IFERROR(Tabela2[[#This Row],[Data Fim PMO]]-Tabela2[[#This Row],[Data Pedido PMO]],"")</f>
        <v/>
      </c>
      <c r="AN26" s="21"/>
      <c r="AO26" s="21"/>
      <c r="AP26" s="21" t="str">
        <f>IF(Tabela2[[#This Row],[Data Fim Prototipagem2]]=0," ",IFERROR(Tabela2[[#This Row],[Data Fim Prototipagem2]]-Tabela2[[#This Row],[Data Inicio Prototipagem]],""))</f>
        <v xml:space="preserve"> </v>
      </c>
      <c r="AQ26" s="21"/>
      <c r="AR26" s="21"/>
    </row>
    <row r="27" spans="1:44" x14ac:dyDescent="0.35">
      <c r="A27" s="21" t="s">
        <v>183</v>
      </c>
      <c r="B27" s="23" t="s">
        <v>184</v>
      </c>
      <c r="C27" s="21" t="s">
        <v>61</v>
      </c>
      <c r="D27" s="21" t="s">
        <v>182</v>
      </c>
      <c r="E27" s="21">
        <f>_xlfn.XLOOKUP(D27,validacao_lista!D:D,validacao_lista!E:E)</f>
        <v>1</v>
      </c>
      <c r="F27" s="21" t="s">
        <v>115</v>
      </c>
      <c r="G27" s="21">
        <f>IFERROR(_xlfn.XLOOKUP(Tabela2[[#This Row],[setor]],dim_custo_setor_horas!A:A,dim_custo_setor_horas!C:C)," ")</f>
        <v>0</v>
      </c>
      <c r="H27" s="21" t="s">
        <v>57</v>
      </c>
      <c r="I27" s="21" t="s">
        <v>57</v>
      </c>
      <c r="J27" s="21" t="s">
        <v>50</v>
      </c>
      <c r="K27" s="21" t="s">
        <v>51</v>
      </c>
      <c r="L27" s="21" t="s">
        <v>52</v>
      </c>
      <c r="M27" s="23">
        <v>3</v>
      </c>
      <c r="N27" s="22">
        <v>46082</v>
      </c>
      <c r="O27" s="22">
        <v>46143</v>
      </c>
      <c r="P27" s="50">
        <f>Tabela2[[#This Row],[data_fim]]-Tabela2[[#This Row],[data_inicio]]</f>
        <v>61</v>
      </c>
      <c r="Q27" s="22"/>
      <c r="R27" s="22"/>
      <c r="S27" s="22"/>
      <c r="T27" s="39">
        <v>0</v>
      </c>
      <c r="U27" s="21"/>
      <c r="V27" s="21"/>
      <c r="W27" s="52">
        <f>((Tabela2[[#This Row],[Horas economizadas anuais]] / 12) / 4)</f>
        <v>0</v>
      </c>
      <c r="X27" s="37">
        <f>(_xlfn.XLOOKUP(Tabela2[[#This Row],[setor]],dim_custo_setor_horas!A:A,dim_custo_setor_horas!B:B))*Tabela2[[#This Row],[Horas economizadas anuais]]</f>
        <v>0</v>
      </c>
      <c r="Y27" s="37">
        <f>IF(Tabela2[[#This Row],[progresso_pct]]=100,Tabela2[[#This Row],[Retorno Previsto $]],0)</f>
        <v>0</v>
      </c>
      <c r="Z27" s="37"/>
      <c r="AA27" s="37"/>
      <c r="AB27" s="37"/>
      <c r="AC27" s="37"/>
      <c r="AD27" s="47" t="str">
        <f>IF(Tabela2[[#This Row],[progresso_pct]] = 100,IFERROR((Tabela2[[#This Row],[Retorno Previsto $]]-Tabela2[[#This Row],[spent_capex]])/Tabela2[[#This Row],[spent_capex]]," ")," ")</f>
        <v xml:space="preserve"> </v>
      </c>
      <c r="AE27" s="21"/>
      <c r="AF27" s="21">
        <v>3</v>
      </c>
      <c r="AG27" s="21">
        <v>3</v>
      </c>
      <c r="AH27" s="21">
        <v>3</v>
      </c>
      <c r="AI27" s="21" t="s">
        <v>62</v>
      </c>
      <c r="AJ27" s="21" t="s">
        <v>63</v>
      </c>
      <c r="AK27" s="22">
        <v>46034</v>
      </c>
      <c r="AL27" s="22">
        <v>46085</v>
      </c>
      <c r="AM27" s="21">
        <f>IFERROR(Tabela2[[#This Row],[Data Fim PMO]]-Tabela2[[#This Row],[Data Pedido PMO]],"")</f>
        <v>51</v>
      </c>
      <c r="AN27" s="21"/>
      <c r="AO27" s="21"/>
      <c r="AP27" s="21" t="str">
        <f>IF(Tabela2[[#This Row],[Data Fim Prototipagem2]]=0," ",IFERROR(Tabela2[[#This Row],[Data Fim Prototipagem2]]-Tabela2[[#This Row],[Data Inicio Prototipagem]],""))</f>
        <v xml:space="preserve"> </v>
      </c>
      <c r="AQ27" s="21"/>
      <c r="AR27" s="21"/>
    </row>
    <row r="28" spans="1:44" x14ac:dyDescent="0.35">
      <c r="A28" s="21" t="s">
        <v>185</v>
      </c>
      <c r="B28" s="23" t="s">
        <v>186</v>
      </c>
      <c r="C28" s="21" t="s">
        <v>140</v>
      </c>
      <c r="D28" s="21" t="s">
        <v>182</v>
      </c>
      <c r="E28" s="21">
        <f>_xlfn.XLOOKUP(D28,validacao_lista!D:D,validacao_lista!E:E)</f>
        <v>1</v>
      </c>
      <c r="F28" s="21"/>
      <c r="G28" s="21">
        <f>IFERROR(_xlfn.XLOOKUP(Tabela2[[#This Row],[setor]],dim_custo_setor_horas!A:A,dim_custo_setor_horas!C:C)," ")</f>
        <v>1</v>
      </c>
      <c r="H28" s="21" t="s">
        <v>81</v>
      </c>
      <c r="I28" s="21" t="s">
        <v>49</v>
      </c>
      <c r="J28" s="21" t="s">
        <v>187</v>
      </c>
      <c r="K28" s="21" t="s">
        <v>188</v>
      </c>
      <c r="L28" s="21" t="s">
        <v>189</v>
      </c>
      <c r="M28" s="23">
        <v>3</v>
      </c>
      <c r="N28" s="22"/>
      <c r="O28" s="22"/>
      <c r="P28" s="50">
        <f>Tabela2[[#This Row],[data_fim]]-Tabela2[[#This Row],[data_inicio]]</f>
        <v>0</v>
      </c>
      <c r="Q28" s="22"/>
      <c r="R28" s="22"/>
      <c r="S28" s="22"/>
      <c r="T28" s="39">
        <v>0</v>
      </c>
      <c r="U28" s="21"/>
      <c r="V28" s="21"/>
      <c r="W28" s="52">
        <f>((Tabela2[[#This Row],[Horas economizadas anuais]] / 12) / 4)</f>
        <v>0</v>
      </c>
      <c r="X28" s="37">
        <f>(_xlfn.XLOOKUP(Tabela2[[#This Row],[setor]],dim_custo_setor_horas!A:A,dim_custo_setor_horas!B:B))*Tabela2[[#This Row],[Horas economizadas anuais]]</f>
        <v>0</v>
      </c>
      <c r="Y28" s="37">
        <f>IF(Tabela2[[#This Row],[progresso_pct]]=100,Tabela2[[#This Row],[Retorno Previsto $]],0)</f>
        <v>0</v>
      </c>
      <c r="Z28" s="37"/>
      <c r="AA28" s="37"/>
      <c r="AB28" s="37"/>
      <c r="AC28" s="37"/>
      <c r="AD28" s="47" t="str">
        <f>IF(Tabela2[[#This Row],[progresso_pct]] = 100,IFERROR((Tabela2[[#This Row],[Retorno Previsto $]]-Tabela2[[#This Row],[spent_capex]])/Tabela2[[#This Row],[spent_capex]]," ")," ")</f>
        <v xml:space="preserve"> </v>
      </c>
      <c r="AE28" s="21"/>
      <c r="AF28" s="21">
        <v>3</v>
      </c>
      <c r="AG28" s="21">
        <v>5</v>
      </c>
      <c r="AH28" s="21">
        <v>3</v>
      </c>
      <c r="AI28" s="21" t="s">
        <v>190</v>
      </c>
      <c r="AJ28" s="21" t="s">
        <v>86</v>
      </c>
      <c r="AK28" s="22">
        <v>46031</v>
      </c>
      <c r="AL28" s="22">
        <v>46085</v>
      </c>
      <c r="AM28" s="21">
        <f>IFERROR(Tabela2[[#This Row],[Data Fim PMO]]-Tabela2[[#This Row],[Data Pedido PMO]],"")</f>
        <v>54</v>
      </c>
      <c r="AN28" s="21"/>
      <c r="AO28" s="21"/>
      <c r="AP28" s="21" t="str">
        <f>IF(Tabela2[[#This Row],[Data Fim Prototipagem2]]=0," ",IFERROR(Tabela2[[#This Row],[Data Fim Prototipagem2]]-Tabela2[[#This Row],[Data Inicio Prototipagem]],""))</f>
        <v xml:space="preserve"> </v>
      </c>
      <c r="AQ28" s="21"/>
      <c r="AR28" s="21"/>
    </row>
    <row r="29" spans="1:44" x14ac:dyDescent="0.35">
      <c r="A29" s="21" t="s">
        <v>191</v>
      </c>
      <c r="B29" s="23" t="s">
        <v>192</v>
      </c>
      <c r="C29" s="21" t="s">
        <v>46</v>
      </c>
      <c r="D29" s="21" t="s">
        <v>182</v>
      </c>
      <c r="E29" s="21">
        <f>_xlfn.XLOOKUP(D29,validacao_lista!D:D,validacao_lista!E:E)</f>
        <v>1</v>
      </c>
      <c r="F29" s="21"/>
      <c r="G29" s="21">
        <f>IFERROR(_xlfn.XLOOKUP(Tabela2[[#This Row],[setor]],dim_custo_setor_horas!A:A,dim_custo_setor_horas!C:C)," ")</f>
        <v>1</v>
      </c>
      <c r="H29" s="21" t="s">
        <v>81</v>
      </c>
      <c r="I29" s="21" t="s">
        <v>193</v>
      </c>
      <c r="J29" s="21" t="s">
        <v>194</v>
      </c>
      <c r="K29" s="21" t="s">
        <v>91</v>
      </c>
      <c r="L29" s="21" t="s">
        <v>92</v>
      </c>
      <c r="M29" s="21">
        <v>5</v>
      </c>
      <c r="N29" s="22"/>
      <c r="O29" s="22"/>
      <c r="P29" s="50">
        <f>Tabela2[[#This Row],[data_fim]]-Tabela2[[#This Row],[data_inicio]]</f>
        <v>0</v>
      </c>
      <c r="Q29" s="22"/>
      <c r="R29" s="22"/>
      <c r="S29" s="22"/>
      <c r="T29" s="39">
        <v>0</v>
      </c>
      <c r="U29" s="21"/>
      <c r="V29" s="21"/>
      <c r="W29" s="52">
        <f>((Tabela2[[#This Row],[Horas economizadas anuais]] / 12) / 4)</f>
        <v>0</v>
      </c>
      <c r="X29" s="37">
        <f>(_xlfn.XLOOKUP(Tabela2[[#This Row],[setor]],dim_custo_setor_horas!A:A,dim_custo_setor_horas!B:B))*Tabela2[[#This Row],[Horas economizadas anuais]]</f>
        <v>0</v>
      </c>
      <c r="Y29" s="37">
        <f>IF(Tabela2[[#This Row],[progresso_pct]]=100,Tabela2[[#This Row],[Retorno Previsto $]],0)</f>
        <v>0</v>
      </c>
      <c r="Z29" s="37"/>
      <c r="AA29" s="37"/>
      <c r="AB29" s="37"/>
      <c r="AC29" s="37"/>
      <c r="AD29" s="47" t="str">
        <f>IF(Tabela2[[#This Row],[progresso_pct]] = 100,IFERROR((Tabela2[[#This Row],[Retorno Previsto $]]-Tabela2[[#This Row],[spent_capex]])/Tabela2[[#This Row],[spent_capex]]," ")," ")</f>
        <v xml:space="preserve"> </v>
      </c>
      <c r="AE29" s="21"/>
      <c r="AF29" s="21">
        <v>1</v>
      </c>
      <c r="AG29" s="21">
        <v>3</v>
      </c>
      <c r="AH29" s="21">
        <v>1</v>
      </c>
      <c r="AI29" s="21" t="s">
        <v>195</v>
      </c>
      <c r="AJ29" s="21" t="s">
        <v>63</v>
      </c>
      <c r="AK29" s="22">
        <v>46030</v>
      </c>
      <c r="AL29" s="22">
        <v>46085</v>
      </c>
      <c r="AM29" s="21">
        <f>IFERROR(Tabela2[[#This Row],[Data Fim PMO]]-Tabela2[[#This Row],[Data Pedido PMO]],"")</f>
        <v>55</v>
      </c>
      <c r="AN29" s="21"/>
      <c r="AO29" s="21"/>
      <c r="AP29" s="21" t="str">
        <f>IF(Tabela2[[#This Row],[Data Fim Prototipagem2]]=0," ",IFERROR(Tabela2[[#This Row],[Data Fim Prototipagem2]]-Tabela2[[#This Row],[Data Inicio Prototipagem]],""))</f>
        <v xml:space="preserve"> </v>
      </c>
      <c r="AQ29" s="21"/>
      <c r="AR29" s="21"/>
    </row>
    <row r="30" spans="1:44" x14ac:dyDescent="0.35">
      <c r="A30" s="21" t="s">
        <v>196</v>
      </c>
      <c r="B30" s="23" t="s">
        <v>197</v>
      </c>
      <c r="C30" s="21" t="s">
        <v>61</v>
      </c>
      <c r="D30" s="21" t="s">
        <v>182</v>
      </c>
      <c r="E30" s="21">
        <f>_xlfn.XLOOKUP(D30,validacao_lista!D:D,validacao_lista!E:E)</f>
        <v>1</v>
      </c>
      <c r="F30" s="21"/>
      <c r="G30" s="21">
        <f>IFERROR(_xlfn.XLOOKUP(Tabela2[[#This Row],[setor]],dim_custo_setor_horas!A:A,dim_custo_setor_horas!C:C)," ")</f>
        <v>0</v>
      </c>
      <c r="H30" s="21" t="s">
        <v>57</v>
      </c>
      <c r="I30" s="21" t="s">
        <v>57</v>
      </c>
      <c r="J30" s="21" t="s">
        <v>66</v>
      </c>
      <c r="K30" s="21" t="s">
        <v>51</v>
      </c>
      <c r="L30" s="21" t="s">
        <v>52</v>
      </c>
      <c r="M30" s="21">
        <v>5</v>
      </c>
      <c r="N30" s="22"/>
      <c r="O30" s="22"/>
      <c r="P30" s="50">
        <f>Tabela2[[#This Row],[data_fim]]-Tabela2[[#This Row],[data_inicio]]</f>
        <v>0</v>
      </c>
      <c r="Q30" s="22"/>
      <c r="R30" s="22"/>
      <c r="S30" s="22"/>
      <c r="T30" s="39">
        <v>0</v>
      </c>
      <c r="U30" s="21"/>
      <c r="V30" s="21"/>
      <c r="W30" s="52">
        <f>((Tabela2[[#This Row],[Horas economizadas anuais]] / 12) / 4)</f>
        <v>0</v>
      </c>
      <c r="X30" s="37">
        <f>(_xlfn.XLOOKUP(Tabela2[[#This Row],[setor]],dim_custo_setor_horas!A:A,dim_custo_setor_horas!B:B))*Tabela2[[#This Row],[Horas economizadas anuais]]</f>
        <v>0</v>
      </c>
      <c r="Y30" s="37">
        <f>IF(Tabela2[[#This Row],[progresso_pct]]=100,Tabela2[[#This Row],[Retorno Previsto $]],0)</f>
        <v>0</v>
      </c>
      <c r="Z30" s="37"/>
      <c r="AA30" s="37"/>
      <c r="AB30" s="37"/>
      <c r="AC30" s="37"/>
      <c r="AD30" s="47" t="str">
        <f>IF(Tabela2[[#This Row],[progresso_pct]] = 100,IFERROR((Tabela2[[#This Row],[Retorno Previsto $]]-Tabela2[[#This Row],[spent_capex]])/Tabela2[[#This Row],[spent_capex]]," ")," ")</f>
        <v xml:space="preserve"> </v>
      </c>
      <c r="AE30" s="21"/>
      <c r="AF30" s="21">
        <v>5</v>
      </c>
      <c r="AG30" s="21">
        <v>5</v>
      </c>
      <c r="AH30" s="21">
        <v>3</v>
      </c>
      <c r="AI30" s="21" t="s">
        <v>198</v>
      </c>
      <c r="AJ30" s="21" t="s">
        <v>63</v>
      </c>
      <c r="AK30" s="22">
        <v>46034</v>
      </c>
      <c r="AL30" s="22">
        <v>46085</v>
      </c>
      <c r="AM30" s="21">
        <f>IFERROR(Tabela2[[#This Row],[Data Fim PMO]]-Tabela2[[#This Row],[Data Pedido PMO]],"")</f>
        <v>51</v>
      </c>
      <c r="AN30" s="21"/>
      <c r="AO30" s="21"/>
      <c r="AP30" s="21" t="str">
        <f>IF(Tabela2[[#This Row],[Data Fim Prototipagem2]]=0," ",IFERROR(Tabela2[[#This Row],[Data Fim Prototipagem2]]-Tabela2[[#This Row],[Data Inicio Prototipagem]],""))</f>
        <v xml:space="preserve"> </v>
      </c>
      <c r="AQ30" s="21"/>
      <c r="AR30" s="21"/>
    </row>
    <row r="31" spans="1:44" x14ac:dyDescent="0.35">
      <c r="A31" s="21" t="s">
        <v>199</v>
      </c>
      <c r="B31" s="23" t="s">
        <v>200</v>
      </c>
      <c r="C31" s="21" t="s">
        <v>46</v>
      </c>
      <c r="D31" s="21" t="s">
        <v>182</v>
      </c>
      <c r="E31" s="21">
        <f>_xlfn.XLOOKUP(D31,validacao_lista!D:D,validacao_lista!E:E)</f>
        <v>1</v>
      </c>
      <c r="F31" s="21"/>
      <c r="G31" s="21">
        <f>IFERROR(_xlfn.XLOOKUP(Tabela2[[#This Row],[setor]],dim_custo_setor_horas!A:A,dim_custo_setor_horas!C:C)," ")</f>
        <v>0</v>
      </c>
      <c r="H31" s="21" t="s">
        <v>69</v>
      </c>
      <c r="I31" s="21" t="s">
        <v>201</v>
      </c>
      <c r="J31" s="21" t="s">
        <v>201</v>
      </c>
      <c r="K31" s="21" t="s">
        <v>71</v>
      </c>
      <c r="L31" s="21" t="s">
        <v>72</v>
      </c>
      <c r="M31" s="21">
        <v>5</v>
      </c>
      <c r="N31" s="22"/>
      <c r="O31" s="22"/>
      <c r="P31" s="50">
        <f>Tabela2[[#This Row],[data_fim]]-Tabela2[[#This Row],[data_inicio]]</f>
        <v>0</v>
      </c>
      <c r="Q31" s="22"/>
      <c r="R31" s="22"/>
      <c r="S31" s="22"/>
      <c r="T31" s="39">
        <v>0</v>
      </c>
      <c r="U31" s="21"/>
      <c r="V31" s="21"/>
      <c r="W31" s="52">
        <f>((Tabela2[[#This Row],[Horas economizadas anuais]] / 12) / 4)</f>
        <v>0</v>
      </c>
      <c r="X31" s="37">
        <f>(_xlfn.XLOOKUP(Tabela2[[#This Row],[setor]],dim_custo_setor_horas!A:A,dim_custo_setor_horas!B:B))*Tabela2[[#This Row],[Horas economizadas anuais]]</f>
        <v>0</v>
      </c>
      <c r="Y31" s="37">
        <f>IF(Tabela2[[#This Row],[progresso_pct]]=100,Tabela2[[#This Row],[Retorno Previsto $]],0)</f>
        <v>0</v>
      </c>
      <c r="Z31" s="37"/>
      <c r="AA31" s="37"/>
      <c r="AB31" s="37"/>
      <c r="AC31" s="37"/>
      <c r="AD31" s="47" t="str">
        <f>IF(Tabela2[[#This Row],[progresso_pct]] = 100,IFERROR((Tabela2[[#This Row],[Retorno Previsto $]]-Tabela2[[#This Row],[spent_capex]])/Tabela2[[#This Row],[spent_capex]]," ")," ")</f>
        <v xml:space="preserve"> </v>
      </c>
      <c r="AE31" s="21"/>
      <c r="AF31" s="21">
        <v>1</v>
      </c>
      <c r="AG31" s="21">
        <v>3</v>
      </c>
      <c r="AH31" s="21">
        <v>1</v>
      </c>
      <c r="AI31" s="21" t="s">
        <v>202</v>
      </c>
      <c r="AJ31" s="21" t="s">
        <v>63</v>
      </c>
      <c r="AK31" s="22">
        <v>46035</v>
      </c>
      <c r="AL31" s="22">
        <v>46085</v>
      </c>
      <c r="AM31" s="21">
        <f>IFERROR(Tabela2[[#This Row],[Data Fim PMO]]-Tabela2[[#This Row],[Data Pedido PMO]],"")</f>
        <v>50</v>
      </c>
      <c r="AN31" s="21"/>
      <c r="AO31" s="21"/>
      <c r="AP31" s="21" t="str">
        <f>IF(Tabela2[[#This Row],[Data Fim Prototipagem2]]=0," ",IFERROR(Tabela2[[#This Row],[Data Fim Prototipagem2]]-Tabela2[[#This Row],[Data Inicio Prototipagem]],""))</f>
        <v xml:space="preserve"> </v>
      </c>
      <c r="AQ31" s="21"/>
      <c r="AR31" s="21"/>
    </row>
    <row r="32" spans="1:44" x14ac:dyDescent="0.35">
      <c r="A32" s="21" t="s">
        <v>203</v>
      </c>
      <c r="B32" s="23" t="s">
        <v>204</v>
      </c>
      <c r="C32" s="21" t="s">
        <v>46</v>
      </c>
      <c r="D32" s="21" t="s">
        <v>182</v>
      </c>
      <c r="E32" s="21">
        <f>_xlfn.XLOOKUP(D32,validacao_lista!D:D,validacao_lista!E:E)</f>
        <v>1</v>
      </c>
      <c r="F32" s="21"/>
      <c r="G32" s="21">
        <f>IFERROR(_xlfn.XLOOKUP(Tabela2[[#This Row],[setor]],dim_custo_setor_horas!A:A,dim_custo_setor_horas!C:C)," ")</f>
        <v>0</v>
      </c>
      <c r="H32" s="21" t="s">
        <v>69</v>
      </c>
      <c r="I32" s="21" t="s">
        <v>201</v>
      </c>
      <c r="J32" s="21" t="s">
        <v>201</v>
      </c>
      <c r="K32" s="21" t="s">
        <v>71</v>
      </c>
      <c r="L32" s="21" t="s">
        <v>72</v>
      </c>
      <c r="M32" s="21">
        <v>5</v>
      </c>
      <c r="N32" s="22"/>
      <c r="O32" s="22"/>
      <c r="P32" s="50">
        <f>Tabela2[[#This Row],[data_fim]]-Tabela2[[#This Row],[data_inicio]]</f>
        <v>0</v>
      </c>
      <c r="Q32" s="22"/>
      <c r="R32" s="22"/>
      <c r="S32" s="22"/>
      <c r="T32" s="39">
        <v>0</v>
      </c>
      <c r="U32" s="21"/>
      <c r="V32" s="21"/>
      <c r="W32" s="52">
        <f>((Tabela2[[#This Row],[Horas economizadas anuais]] / 12) / 4)</f>
        <v>0</v>
      </c>
      <c r="X32" s="37">
        <f>(_xlfn.XLOOKUP(Tabela2[[#This Row],[setor]],dim_custo_setor_horas!A:A,dim_custo_setor_horas!B:B))*Tabela2[[#This Row],[Horas economizadas anuais]]</f>
        <v>0</v>
      </c>
      <c r="Y32" s="37">
        <f>IF(Tabela2[[#This Row],[progresso_pct]]=100,Tabela2[[#This Row],[Retorno Previsto $]],0)</f>
        <v>0</v>
      </c>
      <c r="Z32" s="37"/>
      <c r="AA32" s="37"/>
      <c r="AB32" s="37"/>
      <c r="AC32" s="37"/>
      <c r="AD32" s="47" t="str">
        <f>IF(Tabela2[[#This Row],[progresso_pct]] = 100,IFERROR((Tabela2[[#This Row],[Retorno Previsto $]]-Tabela2[[#This Row],[spent_capex]])/Tabela2[[#This Row],[spent_capex]]," ")," ")</f>
        <v xml:space="preserve"> </v>
      </c>
      <c r="AE32" s="21"/>
      <c r="AF32" s="21">
        <v>1</v>
      </c>
      <c r="AG32" s="21">
        <v>3</v>
      </c>
      <c r="AH32" s="21">
        <v>1</v>
      </c>
      <c r="AI32" s="21" t="s">
        <v>205</v>
      </c>
      <c r="AJ32" s="21" t="s">
        <v>63</v>
      </c>
      <c r="AK32" s="22">
        <v>46035</v>
      </c>
      <c r="AL32" s="22">
        <v>46085</v>
      </c>
      <c r="AM32" s="21">
        <f>IFERROR(Tabela2[[#This Row],[Data Fim PMO]]-Tabela2[[#This Row],[Data Pedido PMO]],"")</f>
        <v>50</v>
      </c>
      <c r="AN32" s="21"/>
      <c r="AO32" s="21"/>
      <c r="AP32" s="21" t="str">
        <f>IF(Tabela2[[#This Row],[Data Fim Prototipagem2]]=0," ",IFERROR(Tabela2[[#This Row],[Data Fim Prototipagem2]]-Tabela2[[#This Row],[Data Inicio Prototipagem]],""))</f>
        <v xml:space="preserve"> </v>
      </c>
      <c r="AQ32" s="21"/>
      <c r="AR32" s="21"/>
    </row>
    <row r="33" spans="1:44" x14ac:dyDescent="0.35">
      <c r="A33" s="21" t="s">
        <v>206</v>
      </c>
      <c r="B33" s="23" t="s">
        <v>207</v>
      </c>
      <c r="C33" s="21" t="s">
        <v>208</v>
      </c>
      <c r="D33" s="21" t="s">
        <v>182</v>
      </c>
      <c r="E33" s="21">
        <f>_xlfn.XLOOKUP(D33,validacao_lista!D:D,validacao_lista!E:E)</f>
        <v>1</v>
      </c>
      <c r="F33" s="21"/>
      <c r="G33" s="21">
        <f>IFERROR(_xlfn.XLOOKUP(Tabela2[[#This Row],[setor]],dim_custo_setor_horas!A:A,dim_custo_setor_horas!C:C)," ")</f>
        <v>0</v>
      </c>
      <c r="H33" s="21" t="s">
        <v>57</v>
      </c>
      <c r="I33" s="21" t="s">
        <v>57</v>
      </c>
      <c r="J33" s="21" t="s">
        <v>209</v>
      </c>
      <c r="K33" s="21" t="s">
        <v>210</v>
      </c>
      <c r="L33" s="21" t="s">
        <v>211</v>
      </c>
      <c r="M33" s="21">
        <v>5</v>
      </c>
      <c r="N33" s="22"/>
      <c r="O33" s="22"/>
      <c r="P33" s="50">
        <f>Tabela2[[#This Row],[data_fim]]-Tabela2[[#This Row],[data_inicio]]</f>
        <v>0</v>
      </c>
      <c r="Q33" s="22"/>
      <c r="R33" s="22"/>
      <c r="S33" s="22"/>
      <c r="T33" s="39">
        <v>0</v>
      </c>
      <c r="U33" s="21"/>
      <c r="V33" s="21"/>
      <c r="W33" s="52">
        <f>((Tabela2[[#This Row],[Horas economizadas anuais]] / 12) / 4)</f>
        <v>0</v>
      </c>
      <c r="X33" s="37">
        <f>(_xlfn.XLOOKUP(Tabela2[[#This Row],[setor]],dim_custo_setor_horas!A:A,dim_custo_setor_horas!B:B))*Tabela2[[#This Row],[Horas economizadas anuais]]</f>
        <v>0</v>
      </c>
      <c r="Y33" s="37">
        <f>IF(Tabela2[[#This Row],[progresso_pct]]=100,Tabela2[[#This Row],[Retorno Previsto $]],0)</f>
        <v>0</v>
      </c>
      <c r="Z33" s="37"/>
      <c r="AA33" s="37"/>
      <c r="AB33" s="37"/>
      <c r="AC33" s="37"/>
      <c r="AD33" s="47" t="str">
        <f>IF(Tabela2[[#This Row],[progresso_pct]] = 100,IFERROR((Tabela2[[#This Row],[Retorno Previsto $]]-Tabela2[[#This Row],[spent_capex]])/Tabela2[[#This Row],[spent_capex]]," ")," ")</f>
        <v xml:space="preserve"> </v>
      </c>
      <c r="AE33" s="21"/>
      <c r="AF33" s="21">
        <v>5</v>
      </c>
      <c r="AG33" s="21">
        <v>5</v>
      </c>
      <c r="AH33" s="21">
        <v>5</v>
      </c>
      <c r="AI33" s="21" t="s">
        <v>212</v>
      </c>
      <c r="AJ33" s="21" t="s">
        <v>63</v>
      </c>
      <c r="AK33" s="22">
        <v>46034</v>
      </c>
      <c r="AL33" s="22">
        <v>46085</v>
      </c>
      <c r="AM33" s="21">
        <f>IFERROR(Tabela2[[#This Row],[Data Fim PMO]]-Tabela2[[#This Row],[Data Pedido PMO]],"")</f>
        <v>51</v>
      </c>
      <c r="AN33" s="21"/>
      <c r="AO33" s="21"/>
      <c r="AP33" s="21" t="str">
        <f>IF(Tabela2[[#This Row],[Data Fim Prototipagem2]]=0," ",IFERROR(Tabela2[[#This Row],[Data Fim Prototipagem2]]-Tabela2[[#This Row],[Data Inicio Prototipagem]],""))</f>
        <v xml:space="preserve"> </v>
      </c>
      <c r="AQ33" s="21"/>
      <c r="AR33" s="21"/>
    </row>
    <row r="34" spans="1:44" x14ac:dyDescent="0.35">
      <c r="A34" s="21" t="s">
        <v>213</v>
      </c>
      <c r="B34" s="23" t="s">
        <v>214</v>
      </c>
      <c r="C34" s="21" t="s">
        <v>208</v>
      </c>
      <c r="D34" s="21" t="s">
        <v>182</v>
      </c>
      <c r="E34" s="21">
        <f>_xlfn.XLOOKUP(D34,validacao_lista!D:D,validacao_lista!E:E)</f>
        <v>1</v>
      </c>
      <c r="F34" s="21"/>
      <c r="G34" s="21">
        <f>IFERROR(_xlfn.XLOOKUP(Tabela2[[#This Row],[setor]],dim_custo_setor_horas!A:A,dim_custo_setor_horas!C:C)," ")</f>
        <v>0</v>
      </c>
      <c r="H34" s="21" t="s">
        <v>57</v>
      </c>
      <c r="I34" s="21" t="s">
        <v>57</v>
      </c>
      <c r="J34" s="21" t="s">
        <v>209</v>
      </c>
      <c r="K34" s="21" t="s">
        <v>210</v>
      </c>
      <c r="L34" s="21" t="s">
        <v>211</v>
      </c>
      <c r="M34" s="23">
        <v>3</v>
      </c>
      <c r="N34" s="22"/>
      <c r="O34" s="22"/>
      <c r="P34" s="50">
        <f>Tabela2[[#This Row],[data_fim]]-Tabela2[[#This Row],[data_inicio]]</f>
        <v>0</v>
      </c>
      <c r="Q34" s="22"/>
      <c r="R34" s="22"/>
      <c r="S34" s="22"/>
      <c r="T34" s="39">
        <v>0</v>
      </c>
      <c r="U34" s="21"/>
      <c r="V34" s="21"/>
      <c r="W34" s="52">
        <f>((Tabela2[[#This Row],[Horas economizadas anuais]] / 12) / 4)</f>
        <v>0</v>
      </c>
      <c r="X34" s="37">
        <f>(_xlfn.XLOOKUP(Tabela2[[#This Row],[setor]],dim_custo_setor_horas!A:A,dim_custo_setor_horas!B:B))*Tabela2[[#This Row],[Horas economizadas anuais]]</f>
        <v>0</v>
      </c>
      <c r="Y34" s="37">
        <f>IF(Tabela2[[#This Row],[progresso_pct]]=100,Tabela2[[#This Row],[Retorno Previsto $]],0)</f>
        <v>0</v>
      </c>
      <c r="Z34" s="37"/>
      <c r="AA34" s="37"/>
      <c r="AB34" s="37"/>
      <c r="AC34" s="37"/>
      <c r="AD34" s="47" t="str">
        <f>IF(Tabela2[[#This Row],[progresso_pct]] = 100,IFERROR((Tabela2[[#This Row],[Retorno Previsto $]]-Tabela2[[#This Row],[spent_capex]])/Tabela2[[#This Row],[spent_capex]]," ")," ")</f>
        <v xml:space="preserve"> </v>
      </c>
      <c r="AE34" s="21"/>
      <c r="AF34" s="21">
        <v>3</v>
      </c>
      <c r="AG34" s="21">
        <v>3</v>
      </c>
      <c r="AH34" s="21">
        <v>3</v>
      </c>
      <c r="AI34" s="21" t="s">
        <v>215</v>
      </c>
      <c r="AJ34" s="21" t="s">
        <v>63</v>
      </c>
      <c r="AK34" s="22">
        <v>46034</v>
      </c>
      <c r="AL34" s="22">
        <v>46085</v>
      </c>
      <c r="AM34" s="21">
        <f>IFERROR(Tabela2[[#This Row],[Data Fim PMO]]-Tabela2[[#This Row],[Data Pedido PMO]],"")</f>
        <v>51</v>
      </c>
      <c r="AN34" s="21"/>
      <c r="AO34" s="21"/>
      <c r="AP34" s="21" t="str">
        <f>IF(Tabela2[[#This Row],[Data Fim Prototipagem2]]=0," ",IFERROR(Tabela2[[#This Row],[Data Fim Prototipagem2]]-Tabela2[[#This Row],[Data Inicio Prototipagem]],""))</f>
        <v xml:space="preserve"> </v>
      </c>
      <c r="AQ34" s="21"/>
      <c r="AR34" s="21"/>
    </row>
    <row r="35" spans="1:44" x14ac:dyDescent="0.35">
      <c r="A35" s="21" t="s">
        <v>216</v>
      </c>
      <c r="B35" s="23" t="s">
        <v>217</v>
      </c>
      <c r="C35" s="21" t="s">
        <v>61</v>
      </c>
      <c r="D35" s="21" t="s">
        <v>182</v>
      </c>
      <c r="E35" s="21">
        <f>_xlfn.XLOOKUP(D35,validacao_lista!D:D,validacao_lista!E:E)</f>
        <v>1</v>
      </c>
      <c r="F35" s="21"/>
      <c r="G35" s="21">
        <f>IFERROR(_xlfn.XLOOKUP(Tabela2[[#This Row],[setor]],dim_custo_setor_horas!A:A,dim_custo_setor_horas!C:C)," ")</f>
        <v>1</v>
      </c>
      <c r="H35" s="21" t="s">
        <v>81</v>
      </c>
      <c r="I35" s="21" t="s">
        <v>81</v>
      </c>
      <c r="J35" s="21" t="s">
        <v>218</v>
      </c>
      <c r="K35" s="21" t="s">
        <v>219</v>
      </c>
      <c r="L35" s="21" t="s">
        <v>220</v>
      </c>
      <c r="M35" s="23">
        <v>3</v>
      </c>
      <c r="N35" s="22"/>
      <c r="O35" s="22"/>
      <c r="P35" s="50">
        <f>Tabela2[[#This Row],[data_fim]]-Tabela2[[#This Row],[data_inicio]]</f>
        <v>0</v>
      </c>
      <c r="Q35" s="22"/>
      <c r="R35" s="22"/>
      <c r="S35" s="22"/>
      <c r="T35" s="39">
        <v>0</v>
      </c>
      <c r="U35" s="21"/>
      <c r="V35" s="21"/>
      <c r="W35" s="52">
        <f>((Tabela2[[#This Row],[Horas economizadas anuais]] / 12) / 4)</f>
        <v>0</v>
      </c>
      <c r="X35" s="37">
        <f>(_xlfn.XLOOKUP(Tabela2[[#This Row],[setor]],dim_custo_setor_horas!A:A,dim_custo_setor_horas!B:B))*Tabela2[[#This Row],[Horas economizadas anuais]]</f>
        <v>0</v>
      </c>
      <c r="Y35" s="37">
        <f>IF(Tabela2[[#This Row],[progresso_pct]]=100,Tabela2[[#This Row],[Retorno Previsto $]],0)</f>
        <v>0</v>
      </c>
      <c r="Z35" s="37"/>
      <c r="AA35" s="37"/>
      <c r="AB35" s="37"/>
      <c r="AC35" s="37"/>
      <c r="AD35" s="47" t="str">
        <f>IF(Tabela2[[#This Row],[progresso_pct]] = 100,IFERROR((Tabela2[[#This Row],[Retorno Previsto $]]-Tabela2[[#This Row],[spent_capex]])/Tabela2[[#This Row],[spent_capex]]," ")," ")</f>
        <v xml:space="preserve"> </v>
      </c>
      <c r="AE35" s="21"/>
      <c r="AF35" s="21">
        <v>5</v>
      </c>
      <c r="AG35" s="21">
        <v>5</v>
      </c>
      <c r="AH35" s="21">
        <v>5</v>
      </c>
      <c r="AI35" s="21" t="s">
        <v>221</v>
      </c>
      <c r="AJ35" s="21" t="s">
        <v>86</v>
      </c>
      <c r="AK35" s="22" t="s">
        <v>54</v>
      </c>
      <c r="AL35" s="22" t="s">
        <v>54</v>
      </c>
      <c r="AM35" s="21" t="str">
        <f>IFERROR(Tabela2[[#This Row],[Data Fim PMO]]-Tabela2[[#This Row],[Data Pedido PMO]],"")</f>
        <v/>
      </c>
      <c r="AN35" s="21"/>
      <c r="AO35" s="21"/>
      <c r="AP35" s="21" t="str">
        <f>IF(Tabela2[[#This Row],[Data Fim Prototipagem2]]=0," ",IFERROR(Tabela2[[#This Row],[Data Fim Prototipagem2]]-Tabela2[[#This Row],[Data Inicio Prototipagem]],""))</f>
        <v xml:space="preserve"> </v>
      </c>
      <c r="AQ35" s="21"/>
      <c r="AR35" s="21"/>
    </row>
    <row r="36" spans="1:44" x14ac:dyDescent="0.35">
      <c r="A36" s="21" t="s">
        <v>222</v>
      </c>
      <c r="B36" s="23" t="s">
        <v>223</v>
      </c>
      <c r="C36" s="21" t="s">
        <v>107</v>
      </c>
      <c r="D36" s="21" t="s">
        <v>182</v>
      </c>
      <c r="E36" s="21">
        <f>_xlfn.XLOOKUP(D36,validacao_lista!D:D,validacao_lista!E:E)</f>
        <v>1</v>
      </c>
      <c r="F36" s="21"/>
      <c r="G36" s="21">
        <f>IFERROR(_xlfn.XLOOKUP(Tabela2[[#This Row],[setor]],dim_custo_setor_horas!A:A,dim_custo_setor_horas!C:C)," ")</f>
        <v>0</v>
      </c>
      <c r="H36" s="21" t="s">
        <v>81</v>
      </c>
      <c r="I36" s="21" t="s">
        <v>81</v>
      </c>
      <c r="J36" s="21" t="s">
        <v>49</v>
      </c>
      <c r="K36" s="21" t="s">
        <v>91</v>
      </c>
      <c r="L36" s="21" t="s">
        <v>96</v>
      </c>
      <c r="M36" s="23">
        <v>3</v>
      </c>
      <c r="N36" s="22"/>
      <c r="O36" s="22"/>
      <c r="P36" s="50">
        <f>Tabela2[[#This Row],[data_fim]]-Tabela2[[#This Row],[data_inicio]]</f>
        <v>0</v>
      </c>
      <c r="Q36" s="22"/>
      <c r="R36" s="22"/>
      <c r="S36" s="22"/>
      <c r="T36" s="39">
        <v>0</v>
      </c>
      <c r="U36" s="21"/>
      <c r="V36" s="21"/>
      <c r="W36" s="52">
        <f>((Tabela2[[#This Row],[Horas economizadas anuais]] / 12) / 4)</f>
        <v>0</v>
      </c>
      <c r="X36" s="37">
        <f>(_xlfn.XLOOKUP(Tabela2[[#This Row],[setor]],dim_custo_setor_horas!A:A,dim_custo_setor_horas!B:B))*Tabela2[[#This Row],[Horas economizadas anuais]]</f>
        <v>0</v>
      </c>
      <c r="Y36" s="37">
        <f>IF(Tabela2[[#This Row],[progresso_pct]]=100,Tabela2[[#This Row],[Retorno Previsto $]],0)</f>
        <v>0</v>
      </c>
      <c r="Z36" s="37"/>
      <c r="AA36" s="37"/>
      <c r="AB36" s="37"/>
      <c r="AC36" s="37"/>
      <c r="AD36" s="47" t="str">
        <f>IF(Tabela2[[#This Row],[progresso_pct]] = 100,IFERROR((Tabela2[[#This Row],[Retorno Previsto $]]-Tabela2[[#This Row],[spent_capex]])/Tabela2[[#This Row],[spent_capex]]," ")," ")</f>
        <v xml:space="preserve"> </v>
      </c>
      <c r="AE36" s="21"/>
      <c r="AF36" s="21">
        <v>3</v>
      </c>
      <c r="AG36" s="21">
        <v>3</v>
      </c>
      <c r="AH36" s="21">
        <v>3</v>
      </c>
      <c r="AI36" s="21" t="s">
        <v>224</v>
      </c>
      <c r="AJ36" s="21" t="s">
        <v>86</v>
      </c>
      <c r="AK36" s="22" t="s">
        <v>54</v>
      </c>
      <c r="AL36" s="22" t="s">
        <v>54</v>
      </c>
      <c r="AM36" s="21" t="str">
        <f>IFERROR(Tabela2[[#This Row],[Data Fim PMO]]-Tabela2[[#This Row],[Data Pedido PMO]],"")</f>
        <v/>
      </c>
      <c r="AN36" s="21"/>
      <c r="AO36" s="21"/>
      <c r="AP36" s="21" t="str">
        <f>IF(Tabela2[[#This Row],[Data Fim Prototipagem2]]=0," ",IFERROR(Tabela2[[#This Row],[Data Fim Prototipagem2]]-Tabela2[[#This Row],[Data Inicio Prototipagem]],""))</f>
        <v xml:space="preserve"> </v>
      </c>
      <c r="AQ36" s="21"/>
      <c r="AR36" s="21"/>
    </row>
    <row r="37" spans="1:44" x14ac:dyDescent="0.35">
      <c r="A37" s="21" t="s">
        <v>225</v>
      </c>
      <c r="B37" s="23" t="s">
        <v>226</v>
      </c>
      <c r="C37" s="21" t="s">
        <v>208</v>
      </c>
      <c r="D37" s="21" t="s">
        <v>182</v>
      </c>
      <c r="E37" s="21">
        <f>_xlfn.XLOOKUP(D37,validacao_lista!D:D,validacao_lista!E:E)</f>
        <v>1</v>
      </c>
      <c r="F37" s="21"/>
      <c r="G37" s="21">
        <f>IFERROR(_xlfn.XLOOKUP(Tabela2[[#This Row],[setor]],dim_custo_setor_horas!A:A,dim_custo_setor_horas!C:C)," ")</f>
        <v>0</v>
      </c>
      <c r="H37" s="21" t="s">
        <v>57</v>
      </c>
      <c r="I37" s="21" t="s">
        <v>57</v>
      </c>
      <c r="J37" s="21" t="s">
        <v>50</v>
      </c>
      <c r="K37" s="21" t="s">
        <v>51</v>
      </c>
      <c r="L37" s="21" t="s">
        <v>52</v>
      </c>
      <c r="M37" s="21">
        <v>5</v>
      </c>
      <c r="N37" s="22"/>
      <c r="O37" s="22"/>
      <c r="P37" s="50">
        <f>Tabela2[[#This Row],[data_fim]]-Tabela2[[#This Row],[data_inicio]]</f>
        <v>0</v>
      </c>
      <c r="Q37" s="22"/>
      <c r="R37" s="22"/>
      <c r="S37" s="22"/>
      <c r="T37" s="39">
        <v>0</v>
      </c>
      <c r="U37" s="21"/>
      <c r="V37" s="21"/>
      <c r="W37" s="52">
        <f>((Tabela2[[#This Row],[Horas economizadas anuais]] / 12) / 4)</f>
        <v>0</v>
      </c>
      <c r="X37" s="37">
        <f>(_xlfn.XLOOKUP(Tabela2[[#This Row],[setor]],dim_custo_setor_horas!A:A,dim_custo_setor_horas!B:B))*Tabela2[[#This Row],[Horas economizadas anuais]]</f>
        <v>0</v>
      </c>
      <c r="Y37" s="37">
        <f>IF(Tabela2[[#This Row],[progresso_pct]]=100,Tabela2[[#This Row],[Retorno Previsto $]],0)</f>
        <v>0</v>
      </c>
      <c r="Z37" s="37"/>
      <c r="AA37" s="37"/>
      <c r="AB37" s="37"/>
      <c r="AC37" s="37"/>
      <c r="AD37" s="47" t="str">
        <f>IF(Tabela2[[#This Row],[progresso_pct]] = 100,IFERROR((Tabela2[[#This Row],[Retorno Previsto $]]-Tabela2[[#This Row],[spent_capex]])/Tabela2[[#This Row],[spent_capex]]," ")," ")</f>
        <v xml:space="preserve"> </v>
      </c>
      <c r="AE37" s="21"/>
      <c r="AF37" s="21">
        <v>3</v>
      </c>
      <c r="AG37" s="21">
        <v>3</v>
      </c>
      <c r="AH37" s="21">
        <v>3</v>
      </c>
      <c r="AI37" s="21" t="s">
        <v>77</v>
      </c>
      <c r="AJ37" s="21" t="s">
        <v>63</v>
      </c>
      <c r="AK37" s="22" t="s">
        <v>54</v>
      </c>
      <c r="AL37" s="22" t="s">
        <v>54</v>
      </c>
      <c r="AM37" s="21" t="str">
        <f>IFERROR(Tabela2[[#This Row],[Data Fim PMO]]-Tabela2[[#This Row],[Data Pedido PMO]],"")</f>
        <v/>
      </c>
      <c r="AN37" s="21"/>
      <c r="AO37" s="21"/>
      <c r="AP37" s="21" t="str">
        <f>IF(Tabela2[[#This Row],[Data Fim Prototipagem2]]=0," ",IFERROR(Tabela2[[#This Row],[Data Fim Prototipagem2]]-Tabela2[[#This Row],[Data Inicio Prototipagem]],""))</f>
        <v xml:space="preserve"> </v>
      </c>
      <c r="AQ37" s="37"/>
      <c r="AR37" s="21"/>
    </row>
    <row r="38" spans="1:44" x14ac:dyDescent="0.35">
      <c r="A38" s="21" t="s">
        <v>227</v>
      </c>
      <c r="B38" s="23" t="s">
        <v>228</v>
      </c>
      <c r="C38" s="21" t="s">
        <v>46</v>
      </c>
      <c r="D38" s="21" t="s">
        <v>47</v>
      </c>
      <c r="E38" s="21">
        <f>_xlfn.XLOOKUP(D38,validacao_lista!D:D,validacao_lista!E:E)</f>
        <v>8</v>
      </c>
      <c r="F38" s="21" t="s">
        <v>48</v>
      </c>
      <c r="G38" s="21">
        <f>IFERROR(_xlfn.XLOOKUP(Tabela2[[#This Row],[setor]],dim_custo_setor_horas!A:A,dim_custo_setor_horas!C:C)," ")</f>
        <v>0</v>
      </c>
      <c r="H38" s="21" t="s">
        <v>69</v>
      </c>
      <c r="I38" s="21" t="s">
        <v>69</v>
      </c>
      <c r="J38" s="21" t="s">
        <v>229</v>
      </c>
      <c r="K38" s="21" t="s">
        <v>71</v>
      </c>
      <c r="L38" s="21" t="s">
        <v>72</v>
      </c>
      <c r="M38" s="21">
        <v>3</v>
      </c>
      <c r="N38" s="22">
        <v>46114</v>
      </c>
      <c r="O38" s="22">
        <v>46118</v>
      </c>
      <c r="P38" s="50">
        <f>Tabela2[[#This Row],[data_fim]]-Tabela2[[#This Row],[data_inicio]]</f>
        <v>4</v>
      </c>
      <c r="Q38" s="22">
        <v>46114</v>
      </c>
      <c r="R38" s="22">
        <v>46118</v>
      </c>
      <c r="S38" s="22"/>
      <c r="T38" s="39">
        <v>100</v>
      </c>
      <c r="U38" s="21"/>
      <c r="V38" s="21">
        <v>192</v>
      </c>
      <c r="W38" s="50">
        <f>((Tabela2[[#This Row],[Horas economizadas anuais]] / 12) / 4)</f>
        <v>4</v>
      </c>
      <c r="X38" s="37">
        <f>(_xlfn.XLOOKUP(Tabela2[[#This Row],[setor]],dim_custo_setor_horas!A:A,dim_custo_setor_horas!B:B))*Tabela2[[#This Row],[Horas economizadas anuais]]</f>
        <v>14325.119999999999</v>
      </c>
      <c r="Y38" s="37">
        <f>IF(Tabela2[[#This Row],[progresso_pct]]=100,Tabela2[[#This Row],[Retorno Previsto $]],0)</f>
        <v>14325.119999999999</v>
      </c>
      <c r="Z38" s="37">
        <v>1000</v>
      </c>
      <c r="AA38" s="37"/>
      <c r="AB38" s="37">
        <v>1000</v>
      </c>
      <c r="AC38" s="37"/>
      <c r="AD38" s="47">
        <f>IF(Tabela2[[#This Row],[progresso_pct]] = 100,IFERROR((Tabela2[[#This Row],[Retorno Previsto $]]-Tabela2[[#This Row],[spent_capex]])/Tabela2[[#This Row],[spent_capex]]," ")," ")</f>
        <v>13.325119999999998</v>
      </c>
      <c r="AE38" s="21"/>
      <c r="AF38" s="21">
        <v>3</v>
      </c>
      <c r="AG38" s="21">
        <v>3</v>
      </c>
      <c r="AH38" s="21">
        <v>1</v>
      </c>
      <c r="AI38" s="21" t="s">
        <v>230</v>
      </c>
      <c r="AJ38" s="21" t="s">
        <v>86</v>
      </c>
      <c r="AK38" s="21"/>
      <c r="AL38" s="21"/>
      <c r="AM38" s="21">
        <f>IFERROR(Tabela2[[#This Row],[Data Fim PMO]]-Tabela2[[#This Row],[Data Pedido PMO]],"")</f>
        <v>0</v>
      </c>
      <c r="AN38" s="21"/>
      <c r="AO38" s="21"/>
      <c r="AP38" s="21" t="str">
        <f>IF(Tabela2[[#This Row],[Data Fim Prototipagem2]]=0," ",IFERROR(Tabela2[[#This Row],[Data Fim Prototipagem2]]-Tabela2[[#This Row],[Data Inicio Prototipagem]],""))</f>
        <v xml:space="preserve"> </v>
      </c>
      <c r="AQ38" s="37">
        <v>1000</v>
      </c>
      <c r="AR38" s="21"/>
    </row>
    <row r="39" spans="1:44" x14ac:dyDescent="0.35">
      <c r="A39" s="21" t="s">
        <v>231</v>
      </c>
      <c r="B39" s="23" t="s">
        <v>232</v>
      </c>
      <c r="C39" s="21" t="s">
        <v>61</v>
      </c>
      <c r="D39" s="21" t="s">
        <v>89</v>
      </c>
      <c r="E39" s="21">
        <f>_xlfn.XLOOKUP(D39,validacao_lista!D:D,validacao_lista!E:E)</f>
        <v>6</v>
      </c>
      <c r="F39" s="21" t="s">
        <v>100</v>
      </c>
      <c r="G39" s="21">
        <f>IFERROR(_xlfn.XLOOKUP(Tabela2[[#This Row],[setor]],dim_custo_setor_horas!A:A,dim_custo_setor_horas!C:C)," ")</f>
        <v>0</v>
      </c>
      <c r="H39" s="21" t="s">
        <v>69</v>
      </c>
      <c r="I39" s="21" t="s">
        <v>69</v>
      </c>
      <c r="J39" s="21" t="s">
        <v>229</v>
      </c>
      <c r="K39" s="21" t="s">
        <v>71</v>
      </c>
      <c r="L39" s="21" t="s">
        <v>72</v>
      </c>
      <c r="M39" s="21">
        <v>3</v>
      </c>
      <c r="N39" s="22">
        <v>46120</v>
      </c>
      <c r="O39" s="22">
        <v>46122</v>
      </c>
      <c r="P39" s="50">
        <f>Tabela2[[#This Row],[data_fim]]-Tabela2[[#This Row],[data_inicio]]</f>
        <v>2</v>
      </c>
      <c r="Q39" s="22">
        <v>46120</v>
      </c>
      <c r="R39" s="22">
        <v>46122</v>
      </c>
      <c r="S39" s="22"/>
      <c r="T39" s="39">
        <v>99</v>
      </c>
      <c r="U39" s="21"/>
      <c r="V39" s="21">
        <v>720</v>
      </c>
      <c r="W39" s="50">
        <f>((Tabela2[[#This Row],[Horas economizadas anuais]] / 12) / 4)</f>
        <v>15</v>
      </c>
      <c r="X39" s="37">
        <f>(_xlfn.XLOOKUP(Tabela2[[#This Row],[setor]],dim_custo_setor_horas!A:A,dim_custo_setor_horas!B:B))*Tabela2[[#This Row],[Horas economizadas anuais]]</f>
        <v>53719.199999999997</v>
      </c>
      <c r="Y39" s="37">
        <f>IF(Tabela2[[#This Row],[progresso_pct]]=100,Tabela2[[#This Row],[Retorno Previsto $]],0)</f>
        <v>0</v>
      </c>
      <c r="Z39" s="37">
        <v>800</v>
      </c>
      <c r="AA39" s="37"/>
      <c r="AB39" s="37">
        <v>750</v>
      </c>
      <c r="AC39" s="37"/>
      <c r="AD39" s="47" t="str">
        <f>IF(Tabela2[[#This Row],[progresso_pct]] = 100,IFERROR((Tabela2[[#This Row],[Retorno Previsto $]]-Tabela2[[#This Row],[spent_capex]])/Tabela2[[#This Row],[spent_capex]]," ")," ")</f>
        <v xml:space="preserve"> </v>
      </c>
      <c r="AE39" s="21"/>
      <c r="AF39" s="21">
        <v>3</v>
      </c>
      <c r="AG39" s="21">
        <v>3</v>
      </c>
      <c r="AH39" s="21">
        <v>1</v>
      </c>
      <c r="AI39" s="21" t="s">
        <v>233</v>
      </c>
      <c r="AJ39" s="21" t="s">
        <v>86</v>
      </c>
      <c r="AK39" s="21"/>
      <c r="AL39" s="21"/>
      <c r="AM39" s="21">
        <f>IFERROR(Tabela2[[#This Row],[Data Fim PMO]]-Tabela2[[#This Row],[Data Pedido PMO]],"")</f>
        <v>0</v>
      </c>
      <c r="AN39" s="21"/>
      <c r="AO39" s="21"/>
      <c r="AP39" s="21" t="str">
        <f>IF(Tabela2[[#This Row],[Data Fim Prototipagem2]]=0," ",IFERROR(Tabela2[[#This Row],[Data Fim Prototipagem2]]-Tabela2[[#This Row],[Data Inicio Prototipagem]],""))</f>
        <v xml:space="preserve"> </v>
      </c>
      <c r="AQ39" s="37">
        <v>800</v>
      </c>
      <c r="AR39" s="21"/>
    </row>
    <row r="40" spans="1:44" x14ac:dyDescent="0.35">
      <c r="A40" s="21" t="s">
        <v>234</v>
      </c>
      <c r="B40" s="21" t="s">
        <v>235</v>
      </c>
      <c r="C40" s="21" t="s">
        <v>61</v>
      </c>
      <c r="D40" s="21" t="s">
        <v>47</v>
      </c>
      <c r="E40" s="21">
        <f>_xlfn.XLOOKUP(D40,validacao_lista!D:D,validacao_lista!E:E)</f>
        <v>8</v>
      </c>
      <c r="F40" s="21" t="s">
        <v>48</v>
      </c>
      <c r="G40" s="21">
        <f>IFERROR(_xlfn.XLOOKUP(Tabela2[[#This Row],[setor]],dim_custo_setor_horas!A:A,dim_custo_setor_horas!C:C)," ")</f>
        <v>1</v>
      </c>
      <c r="H40" s="21" t="s">
        <v>57</v>
      </c>
      <c r="I40" s="21" t="s">
        <v>57</v>
      </c>
      <c r="J40" s="21" t="s">
        <v>236</v>
      </c>
      <c r="K40" s="21" t="s">
        <v>102</v>
      </c>
      <c r="L40" s="21" t="s">
        <v>237</v>
      </c>
      <c r="M40" s="21">
        <v>3</v>
      </c>
      <c r="N40" s="22">
        <v>46119</v>
      </c>
      <c r="O40" s="22">
        <v>46129</v>
      </c>
      <c r="P40" s="50">
        <f>Tabela2[[#This Row],[data_fim]]-Tabela2[[#This Row],[data_inicio]]</f>
        <v>10</v>
      </c>
      <c r="Q40" s="22">
        <v>46119</v>
      </c>
      <c r="R40" s="22">
        <v>46129</v>
      </c>
      <c r="S40" s="22"/>
      <c r="T40" s="39">
        <v>100</v>
      </c>
      <c r="U40" s="21"/>
      <c r="V40" s="21">
        <v>96</v>
      </c>
      <c r="W40" s="52">
        <f>((Tabela2[[#This Row],[Horas economizadas anuais]] / 12) / 4)</f>
        <v>2</v>
      </c>
      <c r="X40" s="37">
        <f>(_xlfn.XLOOKUP(Tabela2[[#This Row],[setor]],dim_custo_setor_horas!A:A,dim_custo_setor_horas!B:B))*Tabela2[[#This Row],[Horas economizadas anuais]]</f>
        <v>5018.88</v>
      </c>
      <c r="Y40" s="37">
        <f>IF(Tabela2[[#This Row],[progresso_pct]]=100,Tabela2[[#This Row],[Retorno Previsto $]],0)</f>
        <v>5018.88</v>
      </c>
      <c r="Z40" s="37">
        <v>1300</v>
      </c>
      <c r="AA40" s="37"/>
      <c r="AB40" s="37">
        <v>1300</v>
      </c>
      <c r="AC40" s="37"/>
      <c r="AD40" s="47">
        <f>IF(Tabela2[[#This Row],[progresso_pct]] = 100,IFERROR((Tabela2[[#This Row],[Retorno Previsto $]]-Tabela2[[#This Row],[spent_capex]])/Tabela2[[#This Row],[spent_capex]]," ")," ")</f>
        <v>2.8606769230769231</v>
      </c>
      <c r="AE40" s="21"/>
      <c r="AF40" s="21"/>
      <c r="AG40" s="21"/>
      <c r="AH40" s="21"/>
      <c r="AI40" s="21" t="s">
        <v>238</v>
      </c>
      <c r="AJ40" s="21"/>
      <c r="AK40" s="22">
        <v>46119</v>
      </c>
      <c r="AL40" s="22">
        <v>46119</v>
      </c>
      <c r="AM40" s="21">
        <f>IFERROR(Tabela2[[#This Row],[Data Fim PMO]]-Tabela2[[#This Row],[Data Pedido PMO]],"")</f>
        <v>0</v>
      </c>
      <c r="AN40" s="22">
        <v>46119</v>
      </c>
      <c r="AO40" s="22">
        <v>46119</v>
      </c>
      <c r="AP40" s="23">
        <f>IF(Tabela2[[#This Row],[Data Fim Prototipagem2]]=0," ",IFERROR(Tabela2[[#This Row],[Data Fim Prototipagem2]]-Tabela2[[#This Row],[Data Inicio Prototipagem]],""))</f>
        <v>0</v>
      </c>
      <c r="AQ40" s="37">
        <v>1300</v>
      </c>
      <c r="AR40" s="21"/>
    </row>
    <row r="41" spans="1:44" x14ac:dyDescent="0.35">
      <c r="A41" s="21"/>
      <c r="B41" s="23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2"/>
      <c r="O41" s="22"/>
      <c r="P41" s="22"/>
      <c r="Q41" s="22"/>
      <c r="R41" s="22"/>
      <c r="S41" s="22"/>
      <c r="T41" s="39"/>
      <c r="U41" s="21"/>
      <c r="V41" s="21"/>
      <c r="W41" s="50">
        <f>((Tabela2[[#This Row],[Horas economizadas anuais]] / 12) / 4)</f>
        <v>0</v>
      </c>
      <c r="X41" s="37">
        <f>(_xlfn.XLOOKUP(Tabela2[[#This Row],[setor]],dim_custo_setor_horas!A:A,dim_custo_setor_horas!B:B))*Tabela2[[#This Row],[Horas economizadas anuais]]</f>
        <v>0</v>
      </c>
      <c r="Y41" s="37">
        <f>IF(Tabela2[[#This Row],[progresso_pct]]=100,Tabela2[[#This Row],[Retorno Previsto $]],0)</f>
        <v>0</v>
      </c>
      <c r="Z41" s="37"/>
      <c r="AA41" s="37"/>
      <c r="AB41" s="37"/>
      <c r="AC41" s="37"/>
      <c r="AD41" s="47" t="str">
        <f>IF(Tabela2[[#This Row],[progresso_pct]] = 100,IFERROR((Tabela2[[#This Row],[Retorno Previsto $]]-Tabela2[[#This Row],[spent_capex]])/Tabela2[[#This Row],[spent_capex]]," ")," ")</f>
        <v xml:space="preserve"> </v>
      </c>
      <c r="AE41" s="21"/>
      <c r="AF41" s="21"/>
      <c r="AG41" s="21"/>
      <c r="AH41" s="21"/>
      <c r="AI41" s="21"/>
      <c r="AJ41" s="21"/>
      <c r="AK41" s="21"/>
      <c r="AL41" s="21"/>
      <c r="AM41" s="21">
        <f>IFERROR(Tabela2[[#This Row],[Data Fim PMO]]-Tabela2[[#This Row],[Data Pedido PMO]],"")</f>
        <v>0</v>
      </c>
      <c r="AN41" s="21"/>
      <c r="AO41" s="21"/>
      <c r="AP41" s="21" t="str">
        <f>IF(Tabela2[[#This Row],[Data Fim Prototipagem2]]=0," ",IFERROR(Tabela2[[#This Row],[Data Fim Prototipagem2]]-Tabela2[[#This Row],[Data Inicio Prototipagem]],""))</f>
        <v xml:space="preserve"> </v>
      </c>
      <c r="AQ41" s="21"/>
      <c r="AR41" s="21"/>
    </row>
    <row r="42" spans="1:44" x14ac:dyDescent="0.35">
      <c r="A42" s="21"/>
      <c r="B42" s="23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2"/>
      <c r="O42" s="22"/>
      <c r="P42" s="22"/>
      <c r="Q42" s="22"/>
      <c r="R42" s="22"/>
      <c r="S42" s="22"/>
      <c r="T42" s="39"/>
      <c r="U42" s="21"/>
      <c r="V42" s="21"/>
      <c r="W42" s="50">
        <f>((Tabela2[[#This Row],[Horas economizadas anuais]] / 12) / 4)</f>
        <v>0</v>
      </c>
      <c r="X42" s="37">
        <f>(_xlfn.XLOOKUP(Tabela2[[#This Row],[setor]],dim_custo_setor_horas!A:A,dim_custo_setor_horas!B:B))*Tabela2[[#This Row],[Horas economizadas anuais]]</f>
        <v>0</v>
      </c>
      <c r="Y42" s="37">
        <f>IF(Tabela2[[#This Row],[progresso_pct]]=100,Tabela2[[#This Row],[Retorno Previsto $]],0)</f>
        <v>0</v>
      </c>
      <c r="Z42" s="37"/>
      <c r="AA42" s="37"/>
      <c r="AB42" s="37"/>
      <c r="AC42" s="37"/>
      <c r="AD42" s="47" t="str">
        <f>IF(Tabela2[[#This Row],[progresso_pct]] = 100,IFERROR((Tabela2[[#This Row],[Retorno Previsto $]]-Tabela2[[#This Row],[spent_capex]])/Tabela2[[#This Row],[spent_capex]]," ")," ")</f>
        <v xml:space="preserve"> </v>
      </c>
      <c r="AE42" s="21"/>
      <c r="AF42" s="21"/>
      <c r="AG42" s="21"/>
      <c r="AH42" s="21"/>
      <c r="AI42" s="21"/>
      <c r="AJ42" s="21"/>
      <c r="AK42" s="21"/>
      <c r="AL42" s="21"/>
      <c r="AM42" s="21">
        <f>IFERROR(Tabela2[[#This Row],[Data Fim PMO]]-Tabela2[[#This Row],[Data Pedido PMO]],"")</f>
        <v>0</v>
      </c>
      <c r="AN42" s="21"/>
      <c r="AO42" s="21"/>
      <c r="AP42" s="21" t="str">
        <f>IF(Tabela2[[#This Row],[Data Fim Prototipagem2]]=0," ",IFERROR(Tabela2[[#This Row],[Data Fim Prototipagem2]]-Tabela2[[#This Row],[Data Inicio Prototipagem]],""))</f>
        <v xml:space="preserve"> </v>
      </c>
      <c r="AQ42" s="21"/>
      <c r="AR42" s="21"/>
    </row>
    <row r="43" spans="1:44" x14ac:dyDescent="0.35">
      <c r="A43" s="21"/>
      <c r="B43" s="23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2"/>
      <c r="O43" s="22"/>
      <c r="P43" s="22"/>
      <c r="Q43" s="22"/>
      <c r="R43" s="22"/>
      <c r="S43" s="22"/>
      <c r="T43" s="39"/>
      <c r="U43" s="21"/>
      <c r="V43" s="21"/>
      <c r="W43" s="50">
        <f>((Tabela2[[#This Row],[Horas economizadas anuais]] / 12) / 4)</f>
        <v>0</v>
      </c>
      <c r="X43" s="37">
        <f>(_xlfn.XLOOKUP(Tabela2[[#This Row],[setor]],dim_custo_setor_horas!A:A,dim_custo_setor_horas!B:B))*Tabela2[[#This Row],[Horas economizadas anuais]]</f>
        <v>0</v>
      </c>
      <c r="Y43" s="37">
        <f>IF(Tabela2[[#This Row],[progresso_pct]]=100,Tabela2[[#This Row],[Retorno Previsto $]],0)</f>
        <v>0</v>
      </c>
      <c r="Z43" s="37"/>
      <c r="AA43" s="37"/>
      <c r="AB43" s="37"/>
      <c r="AC43" s="37"/>
      <c r="AD43" s="47" t="str">
        <f>IF(Tabela2[[#This Row],[progresso_pct]] = 100,IFERROR((Tabela2[[#This Row],[Retorno Previsto $]]-Tabela2[[#This Row],[spent_capex]])/Tabela2[[#This Row],[spent_capex]]," ")," ")</f>
        <v xml:space="preserve"> </v>
      </c>
      <c r="AE43" s="21"/>
      <c r="AF43" s="21"/>
      <c r="AG43" s="21"/>
      <c r="AH43" s="21"/>
      <c r="AI43" s="21"/>
      <c r="AJ43" s="21"/>
      <c r="AK43" s="21"/>
      <c r="AL43" s="21"/>
      <c r="AM43" s="21">
        <f>IFERROR(Tabela2[[#This Row],[Data Fim PMO]]-Tabela2[[#This Row],[Data Pedido PMO]],"")</f>
        <v>0</v>
      </c>
      <c r="AN43" s="21"/>
      <c r="AO43" s="21"/>
      <c r="AP43" s="21" t="str">
        <f>IF(Tabela2[[#This Row],[Data Fim Prototipagem2]]=0," ",IFERROR(Tabela2[[#This Row],[Data Fim Prototipagem2]]-Tabela2[[#This Row],[Data Inicio Prototipagem]],""))</f>
        <v xml:space="preserve"> </v>
      </c>
      <c r="AQ43" s="21"/>
      <c r="AR43" s="21"/>
    </row>
    <row r="44" spans="1:44" x14ac:dyDescent="0.35">
      <c r="A44" s="21"/>
      <c r="B44" s="23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2"/>
      <c r="O44" s="22"/>
      <c r="P44" s="22"/>
      <c r="Q44" s="22"/>
      <c r="R44" s="22"/>
      <c r="S44" s="22"/>
      <c r="T44" s="39"/>
      <c r="U44" s="21"/>
      <c r="V44" s="21"/>
      <c r="W44" s="50">
        <f>((Tabela2[[#This Row],[Horas economizadas anuais]] / 12) / 4)</f>
        <v>0</v>
      </c>
      <c r="X44" s="37">
        <f>(_xlfn.XLOOKUP(Tabela2[[#This Row],[setor]],dim_custo_setor_horas!A:A,dim_custo_setor_horas!B:B))*Tabela2[[#This Row],[Horas economizadas anuais]]</f>
        <v>0</v>
      </c>
      <c r="Y44" s="37">
        <f>IF(Tabela2[[#This Row],[progresso_pct]]=100,Tabela2[[#This Row],[Retorno Previsto $]],0)</f>
        <v>0</v>
      </c>
      <c r="Z44" s="37"/>
      <c r="AA44" s="37"/>
      <c r="AB44" s="37"/>
      <c r="AC44" s="37"/>
      <c r="AD44" s="47" t="str">
        <f>IF(Tabela2[[#This Row],[progresso_pct]] = 100,IFERROR((Tabela2[[#This Row],[Retorno Previsto $]]-Tabela2[[#This Row],[spent_capex]])/Tabela2[[#This Row],[spent_capex]]," ")," ")</f>
        <v xml:space="preserve"> </v>
      </c>
      <c r="AE44" s="21"/>
      <c r="AF44" s="21"/>
      <c r="AG44" s="21"/>
      <c r="AH44" s="21"/>
      <c r="AI44" s="21"/>
      <c r="AJ44" s="21"/>
      <c r="AK44" s="21"/>
      <c r="AL44" s="21"/>
      <c r="AM44" s="21">
        <f>IFERROR(Tabela2[[#This Row],[Data Fim PMO]]-Tabela2[[#This Row],[Data Pedido PMO]],"")</f>
        <v>0</v>
      </c>
      <c r="AN44" s="21"/>
      <c r="AO44" s="21"/>
      <c r="AP44" s="21" t="str">
        <f>IF(Tabela2[[#This Row],[Data Fim Prototipagem2]]=0," ",IFERROR(Tabela2[[#This Row],[Data Fim Prototipagem2]]-Tabela2[[#This Row],[Data Inicio Prototipagem]],""))</f>
        <v xml:space="preserve"> </v>
      </c>
      <c r="AQ44" s="21"/>
      <c r="AR44" s="21"/>
    </row>
    <row r="45" spans="1:44" x14ac:dyDescent="0.35">
      <c r="A45" s="21"/>
      <c r="B45" s="23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2"/>
      <c r="O45" s="22"/>
      <c r="P45" s="22"/>
      <c r="Q45" s="22"/>
      <c r="R45" s="22"/>
      <c r="S45" s="22"/>
      <c r="T45" s="39"/>
      <c r="U45" s="21"/>
      <c r="V45" s="21"/>
      <c r="W45" s="50">
        <f>((Tabela2[[#This Row],[Horas economizadas anuais]] / 12) / 4)</f>
        <v>0</v>
      </c>
      <c r="X45" s="37">
        <f>(_xlfn.XLOOKUP(Tabela2[[#This Row],[setor]],dim_custo_setor_horas!A:A,dim_custo_setor_horas!B:B))*Tabela2[[#This Row],[Horas economizadas anuais]]</f>
        <v>0</v>
      </c>
      <c r="Y45" s="37">
        <f>IF(Tabela2[[#This Row],[progresso_pct]]=100,Tabela2[[#This Row],[Retorno Previsto $]],0)</f>
        <v>0</v>
      </c>
      <c r="Z45" s="37"/>
      <c r="AA45" s="37"/>
      <c r="AB45" s="37"/>
      <c r="AC45" s="37"/>
      <c r="AD45" s="47" t="str">
        <f>IF(Tabela2[[#This Row],[progresso_pct]] = 100,IFERROR((Tabela2[[#This Row],[Retorno Previsto $]]-Tabela2[[#This Row],[spent_capex]])/Tabela2[[#This Row],[spent_capex]]," ")," ")</f>
        <v xml:space="preserve"> </v>
      </c>
      <c r="AE45" s="21"/>
      <c r="AF45" s="21"/>
      <c r="AG45" s="21"/>
      <c r="AH45" s="21"/>
      <c r="AI45" s="21"/>
      <c r="AJ45" s="21"/>
      <c r="AK45" s="21"/>
      <c r="AL45" s="21"/>
      <c r="AM45" s="21">
        <f>IFERROR(Tabela2[[#This Row],[Data Fim PMO]]-Tabela2[[#This Row],[Data Pedido PMO]],"")</f>
        <v>0</v>
      </c>
      <c r="AN45" s="21"/>
      <c r="AO45" s="21"/>
      <c r="AP45" s="21" t="str">
        <f>IF(Tabela2[[#This Row],[Data Fim Prototipagem2]]=0," ",IFERROR(Tabela2[[#This Row],[Data Fim Prototipagem2]]-Tabela2[[#This Row],[Data Inicio Prototipagem]],""))</f>
        <v xml:space="preserve"> </v>
      </c>
      <c r="AQ45" s="21"/>
      <c r="AR45" s="21"/>
    </row>
    <row r="46" spans="1:44" x14ac:dyDescent="0.35">
      <c r="A46" s="21"/>
      <c r="B46" s="23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2"/>
      <c r="O46" s="22"/>
      <c r="P46" s="22"/>
      <c r="Q46" s="22"/>
      <c r="R46" s="22"/>
      <c r="S46" s="22"/>
      <c r="T46" s="39"/>
      <c r="U46" s="21"/>
      <c r="V46" s="21"/>
      <c r="W46" s="50">
        <f>((Tabela2[[#This Row],[Horas economizadas anuais]] / 12) / 4)</f>
        <v>0</v>
      </c>
      <c r="X46" s="37">
        <f>(_xlfn.XLOOKUP(Tabela2[[#This Row],[setor]],dim_custo_setor_horas!A:A,dim_custo_setor_horas!B:B))*Tabela2[[#This Row],[Horas economizadas anuais]]</f>
        <v>0</v>
      </c>
      <c r="Y46" s="37">
        <f>IF(Tabela2[[#This Row],[progresso_pct]]=100,Tabela2[[#This Row],[Retorno Previsto $]],0)</f>
        <v>0</v>
      </c>
      <c r="Z46" s="37"/>
      <c r="AA46" s="37"/>
      <c r="AB46" s="37"/>
      <c r="AC46" s="37"/>
      <c r="AD46" s="47" t="str">
        <f>IF(Tabela2[[#This Row],[progresso_pct]] = 100,IFERROR((Tabela2[[#This Row],[Retorno Previsto $]]-Tabela2[[#This Row],[spent_capex]])/Tabela2[[#This Row],[spent_capex]]," ")," ")</f>
        <v xml:space="preserve"> </v>
      </c>
      <c r="AE46" s="21"/>
      <c r="AF46" s="21"/>
      <c r="AG46" s="21"/>
      <c r="AH46" s="21"/>
      <c r="AI46" s="21"/>
      <c r="AJ46" s="21"/>
      <c r="AK46" s="21"/>
      <c r="AL46" s="21"/>
      <c r="AM46" s="21">
        <f>IFERROR(Tabela2[[#This Row],[Data Fim PMO]]-Tabela2[[#This Row],[Data Pedido PMO]],"")</f>
        <v>0</v>
      </c>
      <c r="AN46" s="21"/>
      <c r="AO46" s="21"/>
      <c r="AP46" s="21" t="str">
        <f>IF(Tabela2[[#This Row],[Data Fim Prototipagem2]]=0," ",IFERROR(Tabela2[[#This Row],[Data Fim Prototipagem2]]-Tabela2[[#This Row],[Data Inicio Prototipagem]],""))</f>
        <v xml:space="preserve"> </v>
      </c>
      <c r="AQ46" s="21"/>
      <c r="AR46" s="21"/>
    </row>
    <row r="47" spans="1:44" x14ac:dyDescent="0.35">
      <c r="A47" s="21"/>
      <c r="B47" s="23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2"/>
      <c r="O47" s="22"/>
      <c r="P47" s="22"/>
      <c r="Q47" s="22"/>
      <c r="R47" s="22"/>
      <c r="S47" s="22"/>
      <c r="T47" s="39"/>
      <c r="U47" s="21"/>
      <c r="V47" s="21"/>
      <c r="W47" s="50">
        <f>((Tabela2[[#This Row],[Horas economizadas anuais]] / 12) / 4)</f>
        <v>0</v>
      </c>
      <c r="X47" s="37">
        <f>(_xlfn.XLOOKUP(Tabela2[[#This Row],[setor]],dim_custo_setor_horas!A:A,dim_custo_setor_horas!B:B))*Tabela2[[#This Row],[Horas economizadas anuais]]</f>
        <v>0</v>
      </c>
      <c r="Y47" s="37">
        <f>IF(Tabela2[[#This Row],[progresso_pct]]=100,Tabela2[[#This Row],[Retorno Previsto $]],0)</f>
        <v>0</v>
      </c>
      <c r="Z47" s="37"/>
      <c r="AA47" s="37"/>
      <c r="AB47" s="37"/>
      <c r="AC47" s="37"/>
      <c r="AD47" s="47" t="str">
        <f>IF(Tabela2[[#This Row],[progresso_pct]] = 100,IFERROR((Tabela2[[#This Row],[Retorno Previsto $]]-Tabela2[[#This Row],[spent_capex]])/Tabela2[[#This Row],[spent_capex]]," ")," ")</f>
        <v xml:space="preserve"> </v>
      </c>
      <c r="AE47" s="21"/>
      <c r="AF47" s="21"/>
      <c r="AG47" s="21"/>
      <c r="AH47" s="21"/>
      <c r="AI47" s="21"/>
      <c r="AJ47" s="21"/>
      <c r="AK47" s="21"/>
      <c r="AL47" s="21"/>
      <c r="AM47" s="21">
        <f>IFERROR(Tabela2[[#This Row],[Data Fim PMO]]-Tabela2[[#This Row],[Data Pedido PMO]],"")</f>
        <v>0</v>
      </c>
      <c r="AN47" s="21"/>
      <c r="AO47" s="21"/>
      <c r="AP47" s="21" t="str">
        <f>IF(Tabela2[[#This Row],[Data Fim Prototipagem2]]=0," ",IFERROR(Tabela2[[#This Row],[Data Fim Prototipagem2]]-Tabela2[[#This Row],[Data Inicio Prototipagem]],""))</f>
        <v xml:space="preserve"> </v>
      </c>
      <c r="AQ47" s="21"/>
      <c r="AR47" s="21"/>
    </row>
    <row r="48" spans="1:44" x14ac:dyDescent="0.35">
      <c r="A48" s="21"/>
      <c r="B48" s="23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2"/>
      <c r="O48" s="22"/>
      <c r="P48" s="22"/>
      <c r="Q48" s="22"/>
      <c r="R48" s="22"/>
      <c r="S48" s="22"/>
      <c r="T48" s="39"/>
      <c r="U48" s="21"/>
      <c r="V48" s="21"/>
      <c r="W48" s="50">
        <f>((Tabela2[[#This Row],[Horas economizadas anuais]] / 12) / 4)</f>
        <v>0</v>
      </c>
      <c r="X48" s="37">
        <f>(_xlfn.XLOOKUP(Tabela2[[#This Row],[setor]],dim_custo_setor_horas!A:A,dim_custo_setor_horas!B:B))*Tabela2[[#This Row],[Horas economizadas anuais]]</f>
        <v>0</v>
      </c>
      <c r="Y48" s="37">
        <f>IF(Tabela2[[#This Row],[progresso_pct]]=100,Tabela2[[#This Row],[Retorno Previsto $]],0)</f>
        <v>0</v>
      </c>
      <c r="Z48" s="37"/>
      <c r="AA48" s="37"/>
      <c r="AB48" s="37"/>
      <c r="AC48" s="37"/>
      <c r="AD48" s="47" t="str">
        <f>IF(Tabela2[[#This Row],[progresso_pct]] = 100,IFERROR((Tabela2[[#This Row],[Retorno Previsto $]]-Tabela2[[#This Row],[spent_capex]])/Tabela2[[#This Row],[spent_capex]]," ")," ")</f>
        <v xml:space="preserve"> </v>
      </c>
      <c r="AE48" s="21"/>
      <c r="AF48" s="21"/>
      <c r="AG48" s="21"/>
      <c r="AH48" s="21"/>
      <c r="AI48" s="21"/>
      <c r="AJ48" s="21"/>
      <c r="AK48" s="21"/>
      <c r="AL48" s="21"/>
      <c r="AM48" s="21">
        <f>IFERROR(Tabela2[[#This Row],[Data Fim PMO]]-Tabela2[[#This Row],[Data Pedido PMO]],"")</f>
        <v>0</v>
      </c>
      <c r="AN48" s="21"/>
      <c r="AO48" s="21"/>
      <c r="AP48" s="21" t="str">
        <f>IF(Tabela2[[#This Row],[Data Fim Prototipagem2]]=0," ",IFERROR(Tabela2[[#This Row],[Data Fim Prototipagem2]]-Tabela2[[#This Row],[Data Inicio Prototipagem]],""))</f>
        <v xml:space="preserve"> </v>
      </c>
      <c r="AQ48" s="21"/>
      <c r="AR48" s="21"/>
    </row>
    <row r="49" spans="1:44" x14ac:dyDescent="0.35">
      <c r="A49" s="21"/>
      <c r="B49" s="23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2"/>
      <c r="O49" s="22"/>
      <c r="P49" s="22"/>
      <c r="Q49" s="22"/>
      <c r="R49" s="22"/>
      <c r="S49" s="22"/>
      <c r="T49" s="39"/>
      <c r="U49" s="21"/>
      <c r="V49" s="21"/>
      <c r="W49" s="50">
        <f>((Tabela2[[#This Row],[Horas economizadas anuais]] / 12) / 4)</f>
        <v>0</v>
      </c>
      <c r="X49" s="37">
        <f>(_xlfn.XLOOKUP(Tabela2[[#This Row],[setor]],dim_custo_setor_horas!A:A,dim_custo_setor_horas!B:B))*Tabela2[[#This Row],[Horas economizadas anuais]]</f>
        <v>0</v>
      </c>
      <c r="Y49" s="37">
        <f>IF(Tabela2[[#This Row],[progresso_pct]]=100,Tabela2[[#This Row],[Retorno Previsto $]],0)</f>
        <v>0</v>
      </c>
      <c r="Z49" s="37"/>
      <c r="AA49" s="37"/>
      <c r="AB49" s="37"/>
      <c r="AC49" s="37"/>
      <c r="AD49" s="47" t="str">
        <f>IF(Tabela2[[#This Row],[progresso_pct]] = 100,IFERROR((Tabela2[[#This Row],[Retorno Previsto $]]-Tabela2[[#This Row],[spent_capex]])/Tabela2[[#This Row],[spent_capex]]," ")," ")</f>
        <v xml:space="preserve"> </v>
      </c>
      <c r="AE49" s="21"/>
      <c r="AF49" s="21"/>
      <c r="AG49" s="21"/>
      <c r="AH49" s="21"/>
      <c r="AI49" s="21"/>
      <c r="AJ49" s="21"/>
      <c r="AK49" s="21"/>
      <c r="AL49" s="21"/>
      <c r="AM49" s="21">
        <f>IFERROR(Tabela2[[#This Row],[Data Fim PMO]]-Tabela2[[#This Row],[Data Pedido PMO]],"")</f>
        <v>0</v>
      </c>
      <c r="AN49" s="21"/>
      <c r="AO49" s="21"/>
      <c r="AP49" s="21" t="str">
        <f>IF(Tabela2[[#This Row],[Data Fim Prototipagem2]]=0," ",IFERROR(Tabela2[[#This Row],[Data Fim Prototipagem2]]-Tabela2[[#This Row],[Data Inicio Prototipagem]],""))</f>
        <v xml:space="preserve"> </v>
      </c>
      <c r="AQ49" s="21"/>
      <c r="AR49" s="21"/>
    </row>
    <row r="50" spans="1:44" x14ac:dyDescent="0.35">
      <c r="A50" s="21"/>
      <c r="B50" s="23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2"/>
      <c r="O50" s="22"/>
      <c r="P50" s="22"/>
      <c r="Q50" s="22"/>
      <c r="R50" s="22"/>
      <c r="S50" s="22"/>
      <c r="T50" s="39"/>
      <c r="U50" s="21"/>
      <c r="V50" s="21"/>
      <c r="W50" s="50">
        <f>((Tabela2[[#This Row],[Horas economizadas anuais]] / 12) / 4)</f>
        <v>0</v>
      </c>
      <c r="X50" s="37">
        <f>(_xlfn.XLOOKUP(Tabela2[[#This Row],[setor]],dim_custo_setor_horas!A:A,dim_custo_setor_horas!B:B))*Tabela2[[#This Row],[Horas economizadas anuais]]</f>
        <v>0</v>
      </c>
      <c r="Y50" s="37">
        <f>IF(Tabela2[[#This Row],[progresso_pct]]=100,Tabela2[[#This Row],[Retorno Previsto $]],0)</f>
        <v>0</v>
      </c>
      <c r="Z50" s="37"/>
      <c r="AA50" s="37"/>
      <c r="AB50" s="37"/>
      <c r="AC50" s="37"/>
      <c r="AD50" s="47" t="str">
        <f>IF(Tabela2[[#This Row],[progresso_pct]] = 100,IFERROR((Tabela2[[#This Row],[Retorno Previsto $]]-Tabela2[[#This Row],[spent_capex]])/Tabela2[[#This Row],[spent_capex]]," ")," ")</f>
        <v xml:space="preserve"> </v>
      </c>
      <c r="AE50" s="21"/>
      <c r="AF50" s="21"/>
      <c r="AG50" s="21"/>
      <c r="AH50" s="21"/>
      <c r="AI50" s="21"/>
      <c r="AJ50" s="21"/>
      <c r="AK50" s="21"/>
      <c r="AL50" s="21"/>
      <c r="AM50" s="21">
        <f>IFERROR(Tabela2[[#This Row],[Data Fim PMO]]-Tabela2[[#This Row],[Data Pedido PMO]],"")</f>
        <v>0</v>
      </c>
      <c r="AN50" s="21"/>
      <c r="AO50" s="21"/>
      <c r="AP50" s="21" t="str">
        <f>IF(Tabela2[[#This Row],[Data Fim Prototipagem2]]=0," ",IFERROR(Tabela2[[#This Row],[Data Fim Prototipagem2]]-Tabela2[[#This Row],[Data Inicio Prototipagem]],""))</f>
        <v xml:space="preserve"> </v>
      </c>
      <c r="AQ50" s="21"/>
      <c r="AR50" s="21"/>
    </row>
    <row r="51" spans="1:44" x14ac:dyDescent="0.35">
      <c r="A51" s="21"/>
      <c r="B51" s="23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2"/>
      <c r="O51" s="22"/>
      <c r="P51" s="22"/>
      <c r="Q51" s="22"/>
      <c r="R51" s="22"/>
      <c r="S51" s="22"/>
      <c r="T51" s="39"/>
      <c r="U51" s="21"/>
      <c r="V51" s="21"/>
      <c r="W51" s="50">
        <f>((Tabela2[[#This Row],[Horas economizadas anuais]] / 12) / 4)</f>
        <v>0</v>
      </c>
      <c r="X51" s="37">
        <f>(_xlfn.XLOOKUP(Tabela2[[#This Row],[setor]],dim_custo_setor_horas!A:A,dim_custo_setor_horas!B:B))*Tabela2[[#This Row],[Horas economizadas anuais]]</f>
        <v>0</v>
      </c>
      <c r="Y51" s="37">
        <f>IF(Tabela2[[#This Row],[progresso_pct]]=100,Tabela2[[#This Row],[Retorno Previsto $]],0)</f>
        <v>0</v>
      </c>
      <c r="Z51" s="37"/>
      <c r="AA51" s="37"/>
      <c r="AB51" s="37"/>
      <c r="AC51" s="37"/>
      <c r="AD51" s="47" t="str">
        <f>IF(Tabela2[[#This Row],[progresso_pct]] = 100,IFERROR((Tabela2[[#This Row],[Retorno Previsto $]]-Tabela2[[#This Row],[spent_capex]])/Tabela2[[#This Row],[spent_capex]]," ")," ")</f>
        <v xml:space="preserve"> </v>
      </c>
      <c r="AE51" s="21"/>
      <c r="AF51" s="21"/>
      <c r="AG51" s="21"/>
      <c r="AH51" s="21"/>
      <c r="AI51" s="21"/>
      <c r="AJ51" s="21"/>
      <c r="AK51" s="21"/>
      <c r="AL51" s="21"/>
      <c r="AM51" s="21">
        <f>IFERROR(Tabela2[[#This Row],[Data Fim PMO]]-Tabela2[[#This Row],[Data Pedido PMO]],"")</f>
        <v>0</v>
      </c>
      <c r="AN51" s="21"/>
      <c r="AO51" s="21"/>
      <c r="AP51" s="21" t="str">
        <f>IF(Tabela2[[#This Row],[Data Fim Prototipagem2]]=0," ",IFERROR(Tabela2[[#This Row],[Data Fim Prototipagem2]]-Tabela2[[#This Row],[Data Inicio Prototipagem]],""))</f>
        <v xml:space="preserve"> </v>
      </c>
      <c r="AQ51" s="21"/>
      <c r="AR51" s="21"/>
    </row>
    <row r="52" spans="1:44" x14ac:dyDescent="0.35">
      <c r="A52" s="21"/>
      <c r="B52" s="23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2"/>
      <c r="O52" s="22"/>
      <c r="P52" s="22"/>
      <c r="Q52" s="22"/>
      <c r="R52" s="22"/>
      <c r="S52" s="22"/>
      <c r="T52" s="39"/>
      <c r="U52" s="21"/>
      <c r="V52" s="21"/>
      <c r="W52" s="50">
        <f>((Tabela2[[#This Row],[Horas economizadas anuais]] / 12) / 4)</f>
        <v>0</v>
      </c>
      <c r="X52" s="37">
        <f>(_xlfn.XLOOKUP(Tabela2[[#This Row],[setor]],dim_custo_setor_horas!A:A,dim_custo_setor_horas!B:B))*Tabela2[[#This Row],[Horas economizadas anuais]]</f>
        <v>0</v>
      </c>
      <c r="Y52" s="37">
        <f>IF(Tabela2[[#This Row],[progresso_pct]]=100,Tabela2[[#This Row],[Retorno Previsto $]],0)</f>
        <v>0</v>
      </c>
      <c r="Z52" s="37"/>
      <c r="AA52" s="37"/>
      <c r="AB52" s="37"/>
      <c r="AC52" s="37"/>
      <c r="AD52" s="47" t="str">
        <f>IF(Tabela2[[#This Row],[progresso_pct]] = 100,IFERROR((Tabela2[[#This Row],[Retorno Previsto $]]-Tabela2[[#This Row],[spent_capex]])/Tabela2[[#This Row],[spent_capex]]," ")," ")</f>
        <v xml:space="preserve"> </v>
      </c>
      <c r="AE52" s="21"/>
      <c r="AF52" s="21"/>
      <c r="AG52" s="21"/>
      <c r="AH52" s="21"/>
      <c r="AI52" s="21"/>
      <c r="AJ52" s="21"/>
      <c r="AK52" s="21"/>
      <c r="AL52" s="21"/>
      <c r="AM52" s="21">
        <f>IFERROR(Tabela2[[#This Row],[Data Fim PMO]]-Tabela2[[#This Row],[Data Pedido PMO]],"")</f>
        <v>0</v>
      </c>
      <c r="AN52" s="21"/>
      <c r="AO52" s="21"/>
      <c r="AP52" s="21" t="str">
        <f>IF(Tabela2[[#This Row],[Data Fim Prototipagem2]]=0," ",IFERROR(Tabela2[[#This Row],[Data Fim Prototipagem2]]-Tabela2[[#This Row],[Data Inicio Prototipagem]],""))</f>
        <v xml:space="preserve"> </v>
      </c>
      <c r="AQ52" s="21"/>
      <c r="AR52" s="21"/>
    </row>
    <row r="53" spans="1:44" x14ac:dyDescent="0.35">
      <c r="A53" s="21"/>
      <c r="B53" s="23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  <c r="O53" s="22"/>
      <c r="P53" s="22"/>
      <c r="Q53" s="22"/>
      <c r="R53" s="22"/>
      <c r="S53" s="22"/>
      <c r="T53" s="39"/>
      <c r="U53" s="21"/>
      <c r="V53" s="21"/>
      <c r="W53" s="50">
        <f>((Tabela2[[#This Row],[Horas economizadas anuais]] / 12) / 4)</f>
        <v>0</v>
      </c>
      <c r="X53" s="37">
        <f>(_xlfn.XLOOKUP(Tabela2[[#This Row],[setor]],dim_custo_setor_horas!A:A,dim_custo_setor_horas!B:B))*Tabela2[[#This Row],[Horas economizadas anuais]]</f>
        <v>0</v>
      </c>
      <c r="Y53" s="37">
        <f>IF(Tabela2[[#This Row],[progresso_pct]]=100,Tabela2[[#This Row],[Retorno Previsto $]],0)</f>
        <v>0</v>
      </c>
      <c r="Z53" s="37"/>
      <c r="AA53" s="37"/>
      <c r="AB53" s="37"/>
      <c r="AC53" s="37"/>
      <c r="AD53" s="47" t="str">
        <f>IF(Tabela2[[#This Row],[progresso_pct]] = 100,IFERROR((Tabela2[[#This Row],[Retorno Previsto $]]-Tabela2[[#This Row],[spent_capex]])/Tabela2[[#This Row],[spent_capex]]," ")," ")</f>
        <v xml:space="preserve"> </v>
      </c>
      <c r="AE53" s="21"/>
      <c r="AF53" s="21"/>
      <c r="AG53" s="21"/>
      <c r="AH53" s="21"/>
      <c r="AI53" s="21"/>
      <c r="AJ53" s="21"/>
      <c r="AK53" s="21"/>
      <c r="AL53" s="21"/>
      <c r="AM53" s="21">
        <f>IFERROR(Tabela2[[#This Row],[Data Fim PMO]]-Tabela2[[#This Row],[Data Pedido PMO]],"")</f>
        <v>0</v>
      </c>
      <c r="AN53" s="21"/>
      <c r="AO53" s="21"/>
      <c r="AP53" s="21" t="str">
        <f>IF(Tabela2[[#This Row],[Data Fim Prototipagem2]]=0," ",IFERROR(Tabela2[[#This Row],[Data Fim Prototipagem2]]-Tabela2[[#This Row],[Data Inicio Prototipagem]],""))</f>
        <v xml:space="preserve"> </v>
      </c>
      <c r="AQ53" s="21"/>
      <c r="AR53" s="21"/>
    </row>
    <row r="54" spans="1:44" x14ac:dyDescent="0.35">
      <c r="A54" s="21"/>
      <c r="B54" s="23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2"/>
      <c r="O54" s="22"/>
      <c r="P54" s="22"/>
      <c r="Q54" s="22"/>
      <c r="R54" s="22"/>
      <c r="S54" s="22"/>
      <c r="T54" s="39"/>
      <c r="U54" s="21"/>
      <c r="V54" s="21"/>
      <c r="W54" s="50">
        <f>((Tabela2[[#This Row],[Horas economizadas anuais]] / 12) / 4)</f>
        <v>0</v>
      </c>
      <c r="X54" s="37">
        <f>(_xlfn.XLOOKUP(Tabela2[[#This Row],[setor]],dim_custo_setor_horas!A:A,dim_custo_setor_horas!B:B))*Tabela2[[#This Row],[Horas economizadas anuais]]</f>
        <v>0</v>
      </c>
      <c r="Y54" s="37">
        <f>IF(Tabela2[[#This Row],[progresso_pct]]=100,Tabela2[[#This Row],[Retorno Previsto $]],0)</f>
        <v>0</v>
      </c>
      <c r="Z54" s="37"/>
      <c r="AA54" s="37"/>
      <c r="AB54" s="37"/>
      <c r="AC54" s="37"/>
      <c r="AD54" s="47" t="str">
        <f>IF(Tabela2[[#This Row],[progresso_pct]] = 100,IFERROR((Tabela2[[#This Row],[Retorno Previsto $]]-Tabela2[[#This Row],[spent_capex]])/Tabela2[[#This Row],[spent_capex]]," ")," ")</f>
        <v xml:space="preserve"> </v>
      </c>
      <c r="AE54" s="21"/>
      <c r="AF54" s="21"/>
      <c r="AG54" s="21"/>
      <c r="AH54" s="21"/>
      <c r="AI54" s="21"/>
      <c r="AJ54" s="21"/>
      <c r="AK54" s="21"/>
      <c r="AL54" s="21"/>
      <c r="AM54" s="21">
        <f>IFERROR(Tabela2[[#This Row],[Data Fim PMO]]-Tabela2[[#This Row],[Data Pedido PMO]],"")</f>
        <v>0</v>
      </c>
      <c r="AN54" s="21"/>
      <c r="AO54" s="21"/>
      <c r="AP54" s="21" t="str">
        <f>IF(Tabela2[[#This Row],[Data Fim Prototipagem2]]=0," ",IFERROR(Tabela2[[#This Row],[Data Fim Prototipagem2]]-Tabela2[[#This Row],[Data Inicio Prototipagem]],""))</f>
        <v xml:space="preserve"> </v>
      </c>
      <c r="AQ54" s="21"/>
      <c r="AR54" s="21"/>
    </row>
    <row r="55" spans="1:44" x14ac:dyDescent="0.35">
      <c r="A55" s="21"/>
      <c r="B55" s="23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2"/>
      <c r="O55" s="22"/>
      <c r="P55" s="22"/>
      <c r="Q55" s="22"/>
      <c r="R55" s="22"/>
      <c r="S55" s="22"/>
      <c r="T55" s="39"/>
      <c r="U55" s="21"/>
      <c r="V55" s="21"/>
      <c r="W55" s="50">
        <f>((Tabela2[[#This Row],[Horas economizadas anuais]] / 12) / 4)</f>
        <v>0</v>
      </c>
      <c r="X55" s="37">
        <f>(_xlfn.XLOOKUP(Tabela2[[#This Row],[setor]],dim_custo_setor_horas!A:A,dim_custo_setor_horas!B:B))*Tabela2[[#This Row],[Horas economizadas anuais]]</f>
        <v>0</v>
      </c>
      <c r="Y55" s="37">
        <f>IF(Tabela2[[#This Row],[progresso_pct]]=100,Tabela2[[#This Row],[Retorno Previsto $]],0)</f>
        <v>0</v>
      </c>
      <c r="Z55" s="37"/>
      <c r="AA55" s="37"/>
      <c r="AB55" s="37"/>
      <c r="AC55" s="37"/>
      <c r="AD55" s="47" t="str">
        <f>IF(Tabela2[[#This Row],[progresso_pct]] = 100,IFERROR((Tabela2[[#This Row],[Retorno Previsto $]]-Tabela2[[#This Row],[spent_capex]])/Tabela2[[#This Row],[spent_capex]]," ")," ")</f>
        <v xml:space="preserve"> </v>
      </c>
      <c r="AE55" s="21"/>
      <c r="AF55" s="21"/>
      <c r="AG55" s="21"/>
      <c r="AH55" s="21"/>
      <c r="AI55" s="21"/>
      <c r="AJ55" s="21"/>
      <c r="AK55" s="21"/>
      <c r="AL55" s="21"/>
      <c r="AM55" s="21">
        <f>IFERROR(Tabela2[[#This Row],[Data Fim PMO]]-Tabela2[[#This Row],[Data Pedido PMO]],"")</f>
        <v>0</v>
      </c>
      <c r="AN55" s="21"/>
      <c r="AO55" s="21"/>
      <c r="AP55" s="21" t="str">
        <f>IF(Tabela2[[#This Row],[Data Fim Prototipagem2]]=0," ",IFERROR(Tabela2[[#This Row],[Data Fim Prototipagem2]]-Tabela2[[#This Row],[Data Inicio Prototipagem]],""))</f>
        <v xml:space="preserve"> </v>
      </c>
      <c r="AQ55" s="21"/>
      <c r="AR55" s="21"/>
    </row>
    <row r="56" spans="1:44" x14ac:dyDescent="0.35">
      <c r="A56" s="21"/>
      <c r="B56" s="23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2"/>
      <c r="O56" s="22"/>
      <c r="P56" s="22"/>
      <c r="Q56" s="22"/>
      <c r="R56" s="22"/>
      <c r="S56" s="22"/>
      <c r="T56" s="39"/>
      <c r="U56" s="21"/>
      <c r="V56" s="21"/>
      <c r="W56" s="50">
        <f>((Tabela2[[#This Row],[Horas economizadas anuais]] / 12) / 4)</f>
        <v>0</v>
      </c>
      <c r="X56" s="37">
        <f>(_xlfn.XLOOKUP(Tabela2[[#This Row],[setor]],dim_custo_setor_horas!A:A,dim_custo_setor_horas!B:B))*Tabela2[[#This Row],[Horas economizadas anuais]]</f>
        <v>0</v>
      </c>
      <c r="Y56" s="37">
        <f>IF(Tabela2[[#This Row],[progresso_pct]]=100,Tabela2[[#This Row],[Retorno Previsto $]],0)</f>
        <v>0</v>
      </c>
      <c r="Z56" s="37"/>
      <c r="AA56" s="37"/>
      <c r="AB56" s="37"/>
      <c r="AC56" s="37"/>
      <c r="AD56" s="47" t="str">
        <f>IF(Tabela2[[#This Row],[progresso_pct]] = 100,IFERROR((Tabela2[[#This Row],[Retorno Previsto $]]-Tabela2[[#This Row],[spent_capex]])/Tabela2[[#This Row],[spent_capex]]," ")," ")</f>
        <v xml:space="preserve"> </v>
      </c>
      <c r="AE56" s="21"/>
      <c r="AF56" s="21"/>
      <c r="AG56" s="21"/>
      <c r="AH56" s="21"/>
      <c r="AI56" s="21"/>
      <c r="AJ56" s="21"/>
      <c r="AK56" s="21"/>
      <c r="AL56" s="21"/>
      <c r="AM56" s="21">
        <f>IFERROR(Tabela2[[#This Row],[Data Fim PMO]]-Tabela2[[#This Row],[Data Pedido PMO]],"")</f>
        <v>0</v>
      </c>
      <c r="AN56" s="21"/>
      <c r="AO56" s="21"/>
      <c r="AP56" s="21" t="str">
        <f>IF(Tabela2[[#This Row],[Data Fim Prototipagem2]]=0," ",IFERROR(Tabela2[[#This Row],[Data Fim Prototipagem2]]-Tabela2[[#This Row],[Data Inicio Prototipagem]],""))</f>
        <v xml:space="preserve"> </v>
      </c>
      <c r="AQ56" s="21"/>
      <c r="AR56" s="21"/>
    </row>
    <row r="57" spans="1:44" x14ac:dyDescent="0.35">
      <c r="A57" s="21"/>
      <c r="B57" s="23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2"/>
      <c r="O57" s="22"/>
      <c r="P57" s="22"/>
      <c r="Q57" s="22"/>
      <c r="R57" s="22"/>
      <c r="S57" s="22"/>
      <c r="T57" s="39"/>
      <c r="U57" s="21"/>
      <c r="V57" s="21"/>
      <c r="W57" s="50">
        <f>((Tabela2[[#This Row],[Horas economizadas anuais]] / 12) / 4)</f>
        <v>0</v>
      </c>
      <c r="X57" s="37">
        <f>(_xlfn.XLOOKUP(Tabela2[[#This Row],[setor]],dim_custo_setor_horas!A:A,dim_custo_setor_horas!B:B))*Tabela2[[#This Row],[Horas economizadas anuais]]</f>
        <v>0</v>
      </c>
      <c r="Y57" s="37">
        <f>IF(Tabela2[[#This Row],[progresso_pct]]=100,Tabela2[[#This Row],[Retorno Previsto $]],0)</f>
        <v>0</v>
      </c>
      <c r="Z57" s="37"/>
      <c r="AA57" s="37"/>
      <c r="AB57" s="37"/>
      <c r="AC57" s="37"/>
      <c r="AD57" s="47" t="str">
        <f>IF(Tabela2[[#This Row],[progresso_pct]] = 100,IFERROR((Tabela2[[#This Row],[Retorno Previsto $]]-Tabela2[[#This Row],[spent_capex]])/Tabela2[[#This Row],[spent_capex]]," ")," ")</f>
        <v xml:space="preserve"> </v>
      </c>
      <c r="AE57" s="21"/>
      <c r="AF57" s="21"/>
      <c r="AG57" s="21"/>
      <c r="AH57" s="21"/>
      <c r="AI57" s="21"/>
      <c r="AJ57" s="21"/>
      <c r="AK57" s="21"/>
      <c r="AL57" s="21"/>
      <c r="AM57" s="21">
        <f>IFERROR(Tabela2[[#This Row],[Data Fim PMO]]-Tabela2[[#This Row],[Data Pedido PMO]],"")</f>
        <v>0</v>
      </c>
      <c r="AN57" s="21"/>
      <c r="AO57" s="21"/>
      <c r="AP57" s="21" t="str">
        <f>IF(Tabela2[[#This Row],[Data Fim Prototipagem2]]=0," ",IFERROR(Tabela2[[#This Row],[Data Fim Prototipagem2]]-Tabela2[[#This Row],[Data Inicio Prototipagem]],""))</f>
        <v xml:space="preserve"> </v>
      </c>
      <c r="AQ57" s="21"/>
      <c r="AR57" s="21"/>
    </row>
    <row r="58" spans="1:44" x14ac:dyDescent="0.35">
      <c r="A58" s="21"/>
      <c r="B58" s="23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/>
      <c r="O58" s="22"/>
      <c r="P58" s="22"/>
      <c r="Q58" s="22"/>
      <c r="R58" s="22"/>
      <c r="S58" s="22"/>
      <c r="T58" s="39"/>
      <c r="U58" s="21"/>
      <c r="V58" s="21"/>
      <c r="W58" s="50">
        <f>((Tabela2[[#This Row],[Horas economizadas anuais]] / 12) / 4)</f>
        <v>0</v>
      </c>
      <c r="X58" s="37">
        <f>(_xlfn.XLOOKUP(Tabela2[[#This Row],[setor]],dim_custo_setor_horas!A:A,dim_custo_setor_horas!B:B))*Tabela2[[#This Row],[Horas economizadas anuais]]</f>
        <v>0</v>
      </c>
      <c r="Y58" s="37">
        <f>IF(Tabela2[[#This Row],[progresso_pct]]=100,Tabela2[[#This Row],[Retorno Previsto $]],0)</f>
        <v>0</v>
      </c>
      <c r="Z58" s="37"/>
      <c r="AA58" s="37"/>
      <c r="AB58" s="37"/>
      <c r="AC58" s="37"/>
      <c r="AD58" s="47" t="str">
        <f>IF(Tabela2[[#This Row],[progresso_pct]] = 100,IFERROR((Tabela2[[#This Row],[Retorno Previsto $]]-Tabela2[[#This Row],[spent_capex]])/Tabela2[[#This Row],[spent_capex]]," ")," ")</f>
        <v xml:space="preserve"> </v>
      </c>
      <c r="AE58" s="21"/>
      <c r="AF58" s="21"/>
      <c r="AG58" s="21"/>
      <c r="AH58" s="21"/>
      <c r="AI58" s="21"/>
      <c r="AJ58" s="21"/>
      <c r="AK58" s="21"/>
      <c r="AL58" s="21"/>
      <c r="AM58" s="21">
        <f>IFERROR(Tabela2[[#This Row],[Data Fim PMO]]-Tabela2[[#This Row],[Data Pedido PMO]],"")</f>
        <v>0</v>
      </c>
      <c r="AN58" s="21"/>
      <c r="AO58" s="21"/>
      <c r="AP58" s="21" t="str">
        <f>IF(Tabela2[[#This Row],[Data Fim Prototipagem2]]=0," ",IFERROR(Tabela2[[#This Row],[Data Fim Prototipagem2]]-Tabela2[[#This Row],[Data Inicio Prototipagem]],""))</f>
        <v xml:space="preserve"> </v>
      </c>
      <c r="AQ58" s="21"/>
      <c r="AR58" s="21"/>
    </row>
    <row r="59" spans="1:44" x14ac:dyDescent="0.35">
      <c r="A59" s="21"/>
      <c r="B59" s="23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2"/>
      <c r="O59" s="22"/>
      <c r="P59" s="22"/>
      <c r="Q59" s="22"/>
      <c r="R59" s="22"/>
      <c r="S59" s="22"/>
      <c r="T59" s="39"/>
      <c r="U59" s="21"/>
      <c r="V59" s="21"/>
      <c r="W59" s="50">
        <f>((Tabela2[[#This Row],[Horas economizadas anuais]] / 12) / 4)</f>
        <v>0</v>
      </c>
      <c r="X59" s="37">
        <f>(_xlfn.XLOOKUP(Tabela2[[#This Row],[setor]],dim_custo_setor_horas!A:A,dim_custo_setor_horas!B:B))*Tabela2[[#This Row],[Horas economizadas anuais]]</f>
        <v>0</v>
      </c>
      <c r="Y59" s="37">
        <f>IF(Tabela2[[#This Row],[progresso_pct]]=100,Tabela2[[#This Row],[Retorno Previsto $]],0)</f>
        <v>0</v>
      </c>
      <c r="Z59" s="37"/>
      <c r="AA59" s="37"/>
      <c r="AB59" s="37"/>
      <c r="AC59" s="37"/>
      <c r="AD59" s="47" t="str">
        <f>IF(Tabela2[[#This Row],[progresso_pct]] = 100,IFERROR((Tabela2[[#This Row],[Retorno Previsto $]]-Tabela2[[#This Row],[spent_capex]])/Tabela2[[#This Row],[spent_capex]]," ")," ")</f>
        <v xml:space="preserve"> </v>
      </c>
      <c r="AE59" s="21"/>
      <c r="AF59" s="21"/>
      <c r="AG59" s="21"/>
      <c r="AH59" s="21"/>
      <c r="AI59" s="21"/>
      <c r="AJ59" s="21"/>
      <c r="AK59" s="21"/>
      <c r="AL59" s="21"/>
      <c r="AM59" s="21">
        <f>IFERROR(Tabela2[[#This Row],[Data Fim PMO]]-Tabela2[[#This Row],[Data Pedido PMO]],"")</f>
        <v>0</v>
      </c>
      <c r="AN59" s="21"/>
      <c r="AO59" s="21"/>
      <c r="AP59" s="21" t="str">
        <f>IF(Tabela2[[#This Row],[Data Fim Prototipagem2]]=0," ",IFERROR(Tabela2[[#This Row],[Data Fim Prototipagem2]]-Tabela2[[#This Row],[Data Inicio Prototipagem]],""))</f>
        <v xml:space="preserve"> </v>
      </c>
      <c r="AQ59" s="21"/>
      <c r="AR59" s="21"/>
    </row>
    <row r="60" spans="1:44" x14ac:dyDescent="0.35">
      <c r="A60" s="21"/>
      <c r="B60" s="23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2"/>
      <c r="O60" s="22"/>
      <c r="P60" s="22"/>
      <c r="Q60" s="22"/>
      <c r="R60" s="22"/>
      <c r="S60" s="22"/>
      <c r="T60" s="39"/>
      <c r="U60" s="21"/>
      <c r="V60" s="21"/>
      <c r="W60" s="50">
        <f>((Tabela2[[#This Row],[Horas economizadas anuais]] / 12) / 4)</f>
        <v>0</v>
      </c>
      <c r="X60" s="37">
        <f>(_xlfn.XLOOKUP(Tabela2[[#This Row],[setor]],dim_custo_setor_horas!A:A,dim_custo_setor_horas!B:B))*Tabela2[[#This Row],[Horas economizadas anuais]]</f>
        <v>0</v>
      </c>
      <c r="Y60" s="37">
        <f>IF(Tabela2[[#This Row],[progresso_pct]]=100,Tabela2[[#This Row],[Retorno Previsto $]],0)</f>
        <v>0</v>
      </c>
      <c r="Z60" s="37"/>
      <c r="AA60" s="37"/>
      <c r="AB60" s="37"/>
      <c r="AC60" s="37"/>
      <c r="AD60" s="47" t="str">
        <f>IF(Tabela2[[#This Row],[progresso_pct]] = 100,IFERROR((Tabela2[[#This Row],[Retorno Previsto $]]-Tabela2[[#This Row],[spent_capex]])/Tabela2[[#This Row],[spent_capex]]," ")," ")</f>
        <v xml:space="preserve"> </v>
      </c>
      <c r="AE60" s="21"/>
      <c r="AF60" s="21"/>
      <c r="AG60" s="21"/>
      <c r="AH60" s="21"/>
      <c r="AI60" s="21"/>
      <c r="AJ60" s="21"/>
      <c r="AK60" s="21"/>
      <c r="AL60" s="21"/>
      <c r="AM60" s="21">
        <f>IFERROR(Tabela2[[#This Row],[Data Fim PMO]]-Tabela2[[#This Row],[Data Pedido PMO]],"")</f>
        <v>0</v>
      </c>
      <c r="AN60" s="21"/>
      <c r="AO60" s="21"/>
      <c r="AP60" s="21" t="str">
        <f>IF(Tabela2[[#This Row],[Data Fim Prototipagem2]]=0," ",IFERROR(Tabela2[[#This Row],[Data Fim Prototipagem2]]-Tabela2[[#This Row],[Data Inicio Prototipagem]],""))</f>
        <v xml:space="preserve"> </v>
      </c>
      <c r="AQ60" s="21"/>
      <c r="AR60" s="21"/>
    </row>
    <row r="61" spans="1:44" x14ac:dyDescent="0.35">
      <c r="A61" s="21"/>
      <c r="B61" s="23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2"/>
      <c r="O61" s="22"/>
      <c r="P61" s="22"/>
      <c r="Q61" s="22"/>
      <c r="R61" s="22"/>
      <c r="S61" s="22"/>
      <c r="T61" s="39"/>
      <c r="U61" s="21"/>
      <c r="V61" s="21"/>
      <c r="W61" s="50">
        <f>((Tabela2[[#This Row],[Horas economizadas anuais]] / 12) / 4)</f>
        <v>0</v>
      </c>
      <c r="X61" s="37">
        <f>(_xlfn.XLOOKUP(Tabela2[[#This Row],[setor]],dim_custo_setor_horas!A:A,dim_custo_setor_horas!B:B))*Tabela2[[#This Row],[Horas economizadas anuais]]</f>
        <v>0</v>
      </c>
      <c r="Y61" s="37">
        <f>IF(Tabela2[[#This Row],[progresso_pct]]=100,Tabela2[[#This Row],[Retorno Previsto $]],0)</f>
        <v>0</v>
      </c>
      <c r="Z61" s="37"/>
      <c r="AA61" s="37"/>
      <c r="AB61" s="37"/>
      <c r="AC61" s="37"/>
      <c r="AD61" s="47" t="str">
        <f>IF(Tabela2[[#This Row],[progresso_pct]] = 100,IFERROR((Tabela2[[#This Row],[Retorno Previsto $]]-Tabela2[[#This Row],[spent_capex]])/Tabela2[[#This Row],[spent_capex]]," ")," ")</f>
        <v xml:space="preserve"> </v>
      </c>
      <c r="AE61" s="21"/>
      <c r="AF61" s="21"/>
      <c r="AG61" s="21"/>
      <c r="AH61" s="21"/>
      <c r="AI61" s="21"/>
      <c r="AJ61" s="21"/>
      <c r="AK61" s="21"/>
      <c r="AL61" s="21"/>
      <c r="AM61" s="21">
        <f>IFERROR(Tabela2[[#This Row],[Data Fim PMO]]-Tabela2[[#This Row],[Data Pedido PMO]],"")</f>
        <v>0</v>
      </c>
      <c r="AN61" s="21"/>
      <c r="AO61" s="21"/>
      <c r="AP61" s="21" t="str">
        <f>IF(Tabela2[[#This Row],[Data Fim Prototipagem2]]=0," ",IFERROR(Tabela2[[#This Row],[Data Fim Prototipagem2]]-Tabela2[[#This Row],[Data Inicio Prototipagem]],""))</f>
        <v xml:space="preserve"> </v>
      </c>
      <c r="AQ61" s="21"/>
      <c r="AR61" s="21"/>
    </row>
    <row r="62" spans="1:44" x14ac:dyDescent="0.35">
      <c r="A62" s="21"/>
      <c r="B62" s="23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2"/>
      <c r="O62" s="22"/>
      <c r="P62" s="22"/>
      <c r="Q62" s="22"/>
      <c r="R62" s="22"/>
      <c r="S62" s="22"/>
      <c r="T62" s="39"/>
      <c r="U62" s="21"/>
      <c r="V62" s="21"/>
      <c r="W62" s="50">
        <f>((Tabela2[[#This Row],[Horas economizadas anuais]] / 12) / 4)</f>
        <v>0</v>
      </c>
      <c r="X62" s="37">
        <f>(_xlfn.XLOOKUP(Tabela2[[#This Row],[setor]],dim_custo_setor_horas!A:A,dim_custo_setor_horas!B:B))*Tabela2[[#This Row],[Horas economizadas anuais]]</f>
        <v>0</v>
      </c>
      <c r="Y62" s="37">
        <f>IF(Tabela2[[#This Row],[progresso_pct]]=100,Tabela2[[#This Row],[Retorno Previsto $]],0)</f>
        <v>0</v>
      </c>
      <c r="Z62" s="37"/>
      <c r="AA62" s="37"/>
      <c r="AB62" s="37"/>
      <c r="AC62" s="37"/>
      <c r="AD62" s="47" t="str">
        <f>IF(Tabela2[[#This Row],[progresso_pct]] = 100,IFERROR((Tabela2[[#This Row],[Retorno Previsto $]]-Tabela2[[#This Row],[spent_capex]])/Tabela2[[#This Row],[spent_capex]]," ")," ")</f>
        <v xml:space="preserve"> </v>
      </c>
      <c r="AE62" s="21"/>
      <c r="AF62" s="21"/>
      <c r="AG62" s="21"/>
      <c r="AH62" s="21"/>
      <c r="AI62" s="21"/>
      <c r="AJ62" s="21"/>
      <c r="AK62" s="21"/>
      <c r="AL62" s="21"/>
      <c r="AM62" s="21">
        <f>IFERROR(Tabela2[[#This Row],[Data Fim PMO]]-Tabela2[[#This Row],[Data Pedido PMO]],"")</f>
        <v>0</v>
      </c>
      <c r="AN62" s="21"/>
      <c r="AO62" s="21"/>
      <c r="AP62" s="21" t="str">
        <f>IF(Tabela2[[#This Row],[Data Fim Prototipagem2]]=0," ",IFERROR(Tabela2[[#This Row],[Data Fim Prototipagem2]]-Tabela2[[#This Row],[Data Inicio Prototipagem]],""))</f>
        <v xml:space="preserve"> </v>
      </c>
      <c r="AQ62" s="21"/>
      <c r="AR62" s="21"/>
    </row>
    <row r="63" spans="1:44" x14ac:dyDescent="0.35">
      <c r="A63" s="21"/>
      <c r="B63" s="23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2"/>
      <c r="O63" s="22"/>
      <c r="P63" s="22"/>
      <c r="Q63" s="22"/>
      <c r="R63" s="22"/>
      <c r="S63" s="22"/>
      <c r="T63" s="39"/>
      <c r="U63" s="21"/>
      <c r="V63" s="21"/>
      <c r="W63" s="50">
        <f>((Tabela2[[#This Row],[Horas economizadas anuais]] / 12) / 4)</f>
        <v>0</v>
      </c>
      <c r="X63" s="37">
        <f>(_xlfn.XLOOKUP(Tabela2[[#This Row],[setor]],dim_custo_setor_horas!A:A,dim_custo_setor_horas!B:B))*Tabela2[[#This Row],[Horas economizadas anuais]]</f>
        <v>0</v>
      </c>
      <c r="Y63" s="37">
        <f>IF(Tabela2[[#This Row],[progresso_pct]]=100,Tabela2[[#This Row],[Retorno Previsto $]],0)</f>
        <v>0</v>
      </c>
      <c r="Z63" s="37"/>
      <c r="AA63" s="37"/>
      <c r="AB63" s="37"/>
      <c r="AC63" s="37"/>
      <c r="AD63" s="47" t="str">
        <f>IF(Tabela2[[#This Row],[progresso_pct]] = 100,IFERROR((Tabela2[[#This Row],[Retorno Previsto $]]-Tabela2[[#This Row],[spent_capex]])/Tabela2[[#This Row],[spent_capex]]," ")," ")</f>
        <v xml:space="preserve"> </v>
      </c>
      <c r="AE63" s="21"/>
      <c r="AF63" s="21"/>
      <c r="AG63" s="21"/>
      <c r="AH63" s="21"/>
      <c r="AI63" s="21"/>
      <c r="AJ63" s="21"/>
      <c r="AK63" s="21"/>
      <c r="AL63" s="21"/>
      <c r="AM63" s="21">
        <f>IFERROR(Tabela2[[#This Row],[Data Fim PMO]]-Tabela2[[#This Row],[Data Pedido PMO]],"")</f>
        <v>0</v>
      </c>
      <c r="AN63" s="21"/>
      <c r="AO63" s="21"/>
      <c r="AP63" s="21" t="str">
        <f>IF(Tabela2[[#This Row],[Data Fim Prototipagem2]]=0," ",IFERROR(Tabela2[[#This Row],[Data Fim Prototipagem2]]-Tabela2[[#This Row],[Data Inicio Prototipagem]],""))</f>
        <v xml:space="preserve"> </v>
      </c>
      <c r="AQ63" s="21"/>
      <c r="AR63" s="21"/>
    </row>
    <row r="64" spans="1:44" x14ac:dyDescent="0.35">
      <c r="A64" s="21"/>
      <c r="B64" s="23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2"/>
      <c r="O64" s="22"/>
      <c r="P64" s="22"/>
      <c r="Q64" s="22"/>
      <c r="R64" s="22"/>
      <c r="S64" s="22"/>
      <c r="T64" s="39"/>
      <c r="U64" s="21"/>
      <c r="V64" s="21"/>
      <c r="W64" s="50">
        <f>((Tabela2[[#This Row],[Horas economizadas anuais]] / 12) / 4)</f>
        <v>0</v>
      </c>
      <c r="X64" s="37">
        <f>(_xlfn.XLOOKUP(Tabela2[[#This Row],[setor]],dim_custo_setor_horas!A:A,dim_custo_setor_horas!B:B))*Tabela2[[#This Row],[Horas economizadas anuais]]</f>
        <v>0</v>
      </c>
      <c r="Y64" s="37">
        <f>IF(Tabela2[[#This Row],[progresso_pct]]=100,Tabela2[[#This Row],[Retorno Previsto $]],0)</f>
        <v>0</v>
      </c>
      <c r="Z64" s="37"/>
      <c r="AA64" s="37"/>
      <c r="AB64" s="37"/>
      <c r="AC64" s="37"/>
      <c r="AD64" s="47" t="str">
        <f>IF(Tabela2[[#This Row],[progresso_pct]] = 100,IFERROR((Tabela2[[#This Row],[Retorno Previsto $]]-Tabela2[[#This Row],[spent_capex]])/Tabela2[[#This Row],[spent_capex]]," ")," ")</f>
        <v xml:space="preserve"> </v>
      </c>
      <c r="AE64" s="21"/>
      <c r="AF64" s="21"/>
      <c r="AG64" s="21"/>
      <c r="AH64" s="21"/>
      <c r="AI64" s="21"/>
      <c r="AJ64" s="21"/>
      <c r="AK64" s="21"/>
      <c r="AL64" s="21"/>
      <c r="AM64" s="21">
        <f>IFERROR(Tabela2[[#This Row],[Data Fim PMO]]-Tabela2[[#This Row],[Data Pedido PMO]],"")</f>
        <v>0</v>
      </c>
      <c r="AN64" s="21"/>
      <c r="AO64" s="21"/>
      <c r="AP64" s="21" t="str">
        <f>IF(Tabela2[[#This Row],[Data Fim Prototipagem2]]=0," ",IFERROR(Tabela2[[#This Row],[Data Fim Prototipagem2]]-Tabela2[[#This Row],[Data Inicio Prototipagem]],""))</f>
        <v xml:space="preserve"> </v>
      </c>
      <c r="AQ64" s="21"/>
      <c r="AR64" s="21"/>
    </row>
    <row r="65" spans="1:44" x14ac:dyDescent="0.35">
      <c r="A65" s="21"/>
      <c r="B65" s="23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2"/>
      <c r="O65" s="22"/>
      <c r="P65" s="22"/>
      <c r="Q65" s="22"/>
      <c r="R65" s="22"/>
      <c r="S65" s="22"/>
      <c r="T65" s="39"/>
      <c r="U65" s="21"/>
      <c r="V65" s="21"/>
      <c r="W65" s="50">
        <f>((Tabela2[[#This Row],[Horas economizadas anuais]] / 12) / 4)</f>
        <v>0</v>
      </c>
      <c r="X65" s="37">
        <f>(_xlfn.XLOOKUP(Tabela2[[#This Row],[setor]],dim_custo_setor_horas!A:A,dim_custo_setor_horas!B:B))*Tabela2[[#This Row],[Horas economizadas anuais]]</f>
        <v>0</v>
      </c>
      <c r="Y65" s="37">
        <f>IF(Tabela2[[#This Row],[progresso_pct]]=100,Tabela2[[#This Row],[Retorno Previsto $]],0)</f>
        <v>0</v>
      </c>
      <c r="Z65" s="37"/>
      <c r="AA65" s="37"/>
      <c r="AB65" s="37"/>
      <c r="AC65" s="37"/>
      <c r="AD65" s="47" t="str">
        <f>IF(Tabela2[[#This Row],[progresso_pct]] = 100,IFERROR((Tabela2[[#This Row],[Retorno Previsto $]]-Tabela2[[#This Row],[spent_capex]])/Tabela2[[#This Row],[spent_capex]]," ")," ")</f>
        <v xml:space="preserve"> </v>
      </c>
      <c r="AE65" s="21"/>
      <c r="AF65" s="21"/>
      <c r="AG65" s="21"/>
      <c r="AH65" s="21"/>
      <c r="AI65" s="21"/>
      <c r="AJ65" s="21"/>
      <c r="AK65" s="21"/>
      <c r="AL65" s="21"/>
      <c r="AM65" s="21">
        <f>IFERROR(Tabela2[[#This Row],[Data Fim PMO]]-Tabela2[[#This Row],[Data Pedido PMO]],"")</f>
        <v>0</v>
      </c>
      <c r="AN65" s="21"/>
      <c r="AO65" s="21"/>
      <c r="AP65" s="21" t="str">
        <f>IF(Tabela2[[#This Row],[Data Fim Prototipagem2]]=0," ",IFERROR(Tabela2[[#This Row],[Data Fim Prototipagem2]]-Tabela2[[#This Row],[Data Inicio Prototipagem]],""))</f>
        <v xml:space="preserve"> </v>
      </c>
      <c r="AQ65" s="21"/>
      <c r="AR65" s="21"/>
    </row>
    <row r="66" spans="1:44" x14ac:dyDescent="0.35">
      <c r="A66" s="21"/>
      <c r="B66" s="23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2"/>
      <c r="O66" s="22"/>
      <c r="P66" s="22"/>
      <c r="Q66" s="22"/>
      <c r="R66" s="22"/>
      <c r="S66" s="22"/>
      <c r="T66" s="39"/>
      <c r="U66" s="21"/>
      <c r="V66" s="21"/>
      <c r="W66" s="50">
        <f>((Tabela2[[#This Row],[Horas economizadas anuais]] / 12) / 4)</f>
        <v>0</v>
      </c>
      <c r="X66" s="37">
        <f>(_xlfn.XLOOKUP(Tabela2[[#This Row],[setor]],dim_custo_setor_horas!A:A,dim_custo_setor_horas!B:B))*Tabela2[[#This Row],[Horas economizadas anuais]]</f>
        <v>0</v>
      </c>
      <c r="Y66" s="37">
        <f>IF(Tabela2[[#This Row],[progresso_pct]]=100,Tabela2[[#This Row],[Retorno Previsto $]],0)</f>
        <v>0</v>
      </c>
      <c r="Z66" s="37"/>
      <c r="AA66" s="37"/>
      <c r="AB66" s="37"/>
      <c r="AC66" s="37"/>
      <c r="AD66" s="47" t="str">
        <f>IF(Tabela2[[#This Row],[progresso_pct]] = 100,IFERROR((Tabela2[[#This Row],[Retorno Previsto $]]-Tabela2[[#This Row],[spent_capex]])/Tabela2[[#This Row],[spent_capex]]," ")," ")</f>
        <v xml:space="preserve"> </v>
      </c>
      <c r="AE66" s="21"/>
      <c r="AF66" s="21"/>
      <c r="AG66" s="21"/>
      <c r="AH66" s="21"/>
      <c r="AI66" s="21"/>
      <c r="AJ66" s="21"/>
      <c r="AK66" s="21"/>
      <c r="AL66" s="21"/>
      <c r="AM66" s="21">
        <f>IFERROR(Tabela2[[#This Row],[Data Fim PMO]]-Tabela2[[#This Row],[Data Pedido PMO]],"")</f>
        <v>0</v>
      </c>
      <c r="AN66" s="21"/>
      <c r="AO66" s="21"/>
      <c r="AP66" s="21" t="str">
        <f>IF(Tabela2[[#This Row],[Data Fim Prototipagem2]]=0," ",IFERROR(Tabela2[[#This Row],[Data Fim Prototipagem2]]-Tabela2[[#This Row],[Data Inicio Prototipagem]],""))</f>
        <v xml:space="preserve"> </v>
      </c>
      <c r="AQ66" s="21"/>
      <c r="AR66" s="21"/>
    </row>
    <row r="67" spans="1:44" x14ac:dyDescent="0.35">
      <c r="A67" s="21"/>
      <c r="B67" s="23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2"/>
      <c r="O67" s="22"/>
      <c r="P67" s="22"/>
      <c r="Q67" s="22"/>
      <c r="R67" s="22"/>
      <c r="S67" s="22"/>
      <c r="T67" s="39"/>
      <c r="U67" s="21"/>
      <c r="V67" s="21"/>
      <c r="W67" s="50">
        <f>((Tabela2[[#This Row],[Horas economizadas anuais]] / 12) / 4)</f>
        <v>0</v>
      </c>
      <c r="X67" s="37">
        <f>(_xlfn.XLOOKUP(Tabela2[[#This Row],[setor]],dim_custo_setor_horas!A:A,dim_custo_setor_horas!B:B))*Tabela2[[#This Row],[Horas economizadas anuais]]</f>
        <v>0</v>
      </c>
      <c r="Y67" s="37">
        <f>IF(Tabela2[[#This Row],[progresso_pct]]=100,Tabela2[[#This Row],[Retorno Previsto $]],0)</f>
        <v>0</v>
      </c>
      <c r="Z67" s="37"/>
      <c r="AA67" s="37"/>
      <c r="AB67" s="37"/>
      <c r="AC67" s="37"/>
      <c r="AD67" s="47" t="str">
        <f>IF(Tabela2[[#This Row],[progresso_pct]] = 100,IFERROR((Tabela2[[#This Row],[Retorno Previsto $]]-Tabela2[[#This Row],[spent_capex]])/Tabela2[[#This Row],[spent_capex]]," ")," ")</f>
        <v xml:space="preserve"> </v>
      </c>
      <c r="AE67" s="21"/>
      <c r="AF67" s="21"/>
      <c r="AG67" s="21"/>
      <c r="AH67" s="21"/>
      <c r="AI67" s="21"/>
      <c r="AJ67" s="21"/>
      <c r="AK67" s="21"/>
      <c r="AL67" s="21"/>
      <c r="AM67" s="21">
        <f>IFERROR(Tabela2[[#This Row],[Data Fim PMO]]-Tabela2[[#This Row],[Data Pedido PMO]],"")</f>
        <v>0</v>
      </c>
      <c r="AN67" s="21"/>
      <c r="AO67" s="21"/>
      <c r="AP67" s="21" t="str">
        <f>IF(Tabela2[[#This Row],[Data Fim Prototipagem2]]=0," ",IFERROR(Tabela2[[#This Row],[Data Fim Prototipagem2]]-Tabela2[[#This Row],[Data Inicio Prototipagem]],""))</f>
        <v xml:space="preserve"> </v>
      </c>
      <c r="AQ67" s="21"/>
      <c r="AR67" s="21"/>
    </row>
    <row r="68" spans="1:44" x14ac:dyDescent="0.35">
      <c r="A68" s="21"/>
      <c r="B68" s="23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2"/>
      <c r="O68" s="22"/>
      <c r="P68" s="22"/>
      <c r="Q68" s="22"/>
      <c r="R68" s="22"/>
      <c r="S68" s="22"/>
      <c r="T68" s="39"/>
      <c r="U68" s="21"/>
      <c r="V68" s="21"/>
      <c r="W68" s="50">
        <f>((Tabela2[[#This Row],[Horas economizadas anuais]] / 12) / 4)</f>
        <v>0</v>
      </c>
      <c r="X68" s="37">
        <f>(_xlfn.XLOOKUP(Tabela2[[#This Row],[setor]],dim_custo_setor_horas!A:A,dim_custo_setor_horas!B:B))*Tabela2[[#This Row],[Horas economizadas anuais]]</f>
        <v>0</v>
      </c>
      <c r="Y68" s="37">
        <f>IF(Tabela2[[#This Row],[progresso_pct]]=100,Tabela2[[#This Row],[Retorno Previsto $]],0)</f>
        <v>0</v>
      </c>
      <c r="Z68" s="37"/>
      <c r="AA68" s="37"/>
      <c r="AB68" s="37"/>
      <c r="AC68" s="37"/>
      <c r="AD68" s="47" t="str">
        <f>IF(Tabela2[[#This Row],[progresso_pct]] = 100,IFERROR((Tabela2[[#This Row],[Retorno Previsto $]]-Tabela2[[#This Row],[spent_capex]])/Tabela2[[#This Row],[spent_capex]]," ")," ")</f>
        <v xml:space="preserve"> </v>
      </c>
      <c r="AE68" s="21"/>
      <c r="AF68" s="21"/>
      <c r="AG68" s="21"/>
      <c r="AH68" s="21"/>
      <c r="AI68" s="21"/>
      <c r="AJ68" s="21"/>
      <c r="AK68" s="21"/>
      <c r="AL68" s="21"/>
      <c r="AM68" s="21">
        <f>IFERROR(Tabela2[[#This Row],[Data Fim PMO]]-Tabela2[[#This Row],[Data Pedido PMO]],"")</f>
        <v>0</v>
      </c>
      <c r="AN68" s="21"/>
      <c r="AO68" s="21"/>
      <c r="AP68" s="21" t="str">
        <f>IF(Tabela2[[#This Row],[Data Fim Prototipagem2]]=0," ",IFERROR(Tabela2[[#This Row],[Data Fim Prototipagem2]]-Tabela2[[#This Row],[Data Inicio Prototipagem]],""))</f>
        <v xml:space="preserve"> </v>
      </c>
      <c r="AQ68" s="21"/>
      <c r="AR68" s="21"/>
    </row>
    <row r="69" spans="1:44" x14ac:dyDescent="0.35">
      <c r="A69" s="21"/>
      <c r="B69" s="23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2"/>
      <c r="O69" s="22"/>
      <c r="P69" s="22"/>
      <c r="Q69" s="22"/>
      <c r="R69" s="22"/>
      <c r="S69" s="22"/>
      <c r="T69" s="39"/>
      <c r="U69" s="21"/>
      <c r="V69" s="21"/>
      <c r="W69" s="50">
        <f>((Tabela2[[#This Row],[Horas economizadas anuais]] / 12) / 4)</f>
        <v>0</v>
      </c>
      <c r="X69" s="37">
        <f>(_xlfn.XLOOKUP(Tabela2[[#This Row],[setor]],dim_custo_setor_horas!A:A,dim_custo_setor_horas!B:B))*Tabela2[[#This Row],[Horas economizadas anuais]]</f>
        <v>0</v>
      </c>
      <c r="Y69" s="37">
        <f>IF(Tabela2[[#This Row],[progresso_pct]]=100,Tabela2[[#This Row],[Retorno Previsto $]],0)</f>
        <v>0</v>
      </c>
      <c r="Z69" s="37"/>
      <c r="AA69" s="37"/>
      <c r="AB69" s="37"/>
      <c r="AC69" s="37"/>
      <c r="AD69" s="47" t="str">
        <f>IF(Tabela2[[#This Row],[progresso_pct]] = 100,IFERROR((Tabela2[[#This Row],[Retorno Previsto $]]-Tabela2[[#This Row],[spent_capex]])/Tabela2[[#This Row],[spent_capex]]," ")," ")</f>
        <v xml:space="preserve"> </v>
      </c>
      <c r="AE69" s="21"/>
      <c r="AF69" s="21"/>
      <c r="AG69" s="21"/>
      <c r="AH69" s="21"/>
      <c r="AI69" s="21"/>
      <c r="AJ69" s="21"/>
      <c r="AK69" s="21"/>
      <c r="AL69" s="21"/>
      <c r="AM69" s="21">
        <f>IFERROR(Tabela2[[#This Row],[Data Fim PMO]]-Tabela2[[#This Row],[Data Pedido PMO]],"")</f>
        <v>0</v>
      </c>
      <c r="AN69" s="21"/>
      <c r="AO69" s="21"/>
      <c r="AP69" s="21" t="str">
        <f>IF(Tabela2[[#This Row],[Data Fim Prototipagem2]]=0," ",IFERROR(Tabela2[[#This Row],[Data Fim Prototipagem2]]-Tabela2[[#This Row],[Data Inicio Prototipagem]],""))</f>
        <v xml:space="preserve"> </v>
      </c>
      <c r="AQ69" s="21"/>
      <c r="AR69" s="21"/>
    </row>
    <row r="70" spans="1:44" x14ac:dyDescent="0.35">
      <c r="A70" s="21"/>
      <c r="B70" s="23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2"/>
      <c r="O70" s="22"/>
      <c r="P70" s="22"/>
      <c r="Q70" s="22"/>
      <c r="R70" s="22"/>
      <c r="S70" s="22"/>
      <c r="T70" s="39"/>
      <c r="U70" s="21"/>
      <c r="V70" s="21"/>
      <c r="W70" s="50">
        <f>((Tabela2[[#This Row],[Horas economizadas anuais]] / 12) / 4)</f>
        <v>0</v>
      </c>
      <c r="X70" s="37">
        <f>(_xlfn.XLOOKUP(Tabela2[[#This Row],[setor]],dim_custo_setor_horas!A:A,dim_custo_setor_horas!B:B))*Tabela2[[#This Row],[Horas economizadas anuais]]</f>
        <v>0</v>
      </c>
      <c r="Y70" s="37">
        <f>IF(Tabela2[[#This Row],[progresso_pct]]=100,Tabela2[[#This Row],[Retorno Previsto $]],0)</f>
        <v>0</v>
      </c>
      <c r="Z70" s="37"/>
      <c r="AA70" s="37"/>
      <c r="AB70" s="37"/>
      <c r="AC70" s="37"/>
      <c r="AD70" s="47" t="str">
        <f>IF(Tabela2[[#This Row],[progresso_pct]] = 100,IFERROR((Tabela2[[#This Row],[Retorno Previsto $]]-Tabela2[[#This Row],[spent_capex]])/Tabela2[[#This Row],[spent_capex]]," ")," ")</f>
        <v xml:space="preserve"> </v>
      </c>
      <c r="AE70" s="21"/>
      <c r="AF70" s="21"/>
      <c r="AG70" s="21"/>
      <c r="AH70" s="21"/>
      <c r="AI70" s="21"/>
      <c r="AJ70" s="21"/>
      <c r="AK70" s="21"/>
      <c r="AL70" s="21"/>
      <c r="AM70" s="21">
        <f>IFERROR(Tabela2[[#This Row],[Data Fim PMO]]-Tabela2[[#This Row],[Data Pedido PMO]],"")</f>
        <v>0</v>
      </c>
      <c r="AN70" s="21"/>
      <c r="AO70" s="21"/>
      <c r="AP70" s="21" t="str">
        <f>IF(Tabela2[[#This Row],[Data Fim Prototipagem2]]=0," ",IFERROR(Tabela2[[#This Row],[Data Fim Prototipagem2]]-Tabela2[[#This Row],[Data Inicio Prototipagem]],""))</f>
        <v xml:space="preserve"> </v>
      </c>
      <c r="AQ70" s="21"/>
      <c r="AR70" s="21"/>
    </row>
    <row r="71" spans="1:44" x14ac:dyDescent="0.35">
      <c r="A71" s="21"/>
      <c r="B71" s="23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2"/>
      <c r="O71" s="22"/>
      <c r="P71" s="22"/>
      <c r="Q71" s="22"/>
      <c r="R71" s="22"/>
      <c r="S71" s="22"/>
      <c r="T71" s="39"/>
      <c r="U71" s="21"/>
      <c r="V71" s="21"/>
      <c r="W71" s="50">
        <f>((Tabela2[[#This Row],[Horas economizadas anuais]] / 12) / 4)</f>
        <v>0</v>
      </c>
      <c r="X71" s="37">
        <f>(_xlfn.XLOOKUP(Tabela2[[#This Row],[setor]],dim_custo_setor_horas!A:A,dim_custo_setor_horas!B:B))*Tabela2[[#This Row],[Horas economizadas anuais]]</f>
        <v>0</v>
      </c>
      <c r="Y71" s="37">
        <f>IF(Tabela2[[#This Row],[progresso_pct]]=100,Tabela2[[#This Row],[Retorno Previsto $]],0)</f>
        <v>0</v>
      </c>
      <c r="Z71" s="37"/>
      <c r="AA71" s="37"/>
      <c r="AB71" s="37"/>
      <c r="AC71" s="37"/>
      <c r="AD71" s="47" t="str">
        <f>IF(Tabela2[[#This Row],[progresso_pct]] = 100,IFERROR((Tabela2[[#This Row],[Retorno Previsto $]]-Tabela2[[#This Row],[spent_capex]])/Tabela2[[#This Row],[spent_capex]]," ")," ")</f>
        <v xml:space="preserve"> </v>
      </c>
      <c r="AE71" s="21"/>
      <c r="AF71" s="21"/>
      <c r="AG71" s="21"/>
      <c r="AH71" s="21"/>
      <c r="AI71" s="21"/>
      <c r="AJ71" s="21"/>
      <c r="AK71" s="21"/>
      <c r="AL71" s="21"/>
      <c r="AM71" s="21">
        <f>IFERROR(Tabela2[[#This Row],[Data Fim PMO]]-Tabela2[[#This Row],[Data Pedido PMO]],"")</f>
        <v>0</v>
      </c>
      <c r="AN71" s="21"/>
      <c r="AO71" s="21"/>
      <c r="AP71" s="21" t="str">
        <f>IF(Tabela2[[#This Row],[Data Fim Prototipagem2]]=0," ",IFERROR(Tabela2[[#This Row],[Data Fim Prototipagem2]]-Tabela2[[#This Row],[Data Inicio Prototipagem]],""))</f>
        <v xml:space="preserve"> </v>
      </c>
      <c r="AQ71" s="21"/>
      <c r="AR71" s="21"/>
    </row>
    <row r="72" spans="1:44" x14ac:dyDescent="0.35">
      <c r="A72" s="21"/>
      <c r="B72" s="23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2"/>
      <c r="O72" s="22"/>
      <c r="P72" s="22"/>
      <c r="Q72" s="22"/>
      <c r="R72" s="22"/>
      <c r="S72" s="22"/>
      <c r="T72" s="39"/>
      <c r="U72" s="21"/>
      <c r="V72" s="21"/>
      <c r="W72" s="50">
        <f>((Tabela2[[#This Row],[Horas economizadas anuais]] / 12) / 4)</f>
        <v>0</v>
      </c>
      <c r="X72" s="37">
        <f>(_xlfn.XLOOKUP(Tabela2[[#This Row],[setor]],dim_custo_setor_horas!A:A,dim_custo_setor_horas!B:B))*Tabela2[[#This Row],[Horas economizadas anuais]]</f>
        <v>0</v>
      </c>
      <c r="Y72" s="37">
        <f>IF(Tabela2[[#This Row],[progresso_pct]]=100,Tabela2[[#This Row],[Retorno Previsto $]],0)</f>
        <v>0</v>
      </c>
      <c r="Z72" s="37"/>
      <c r="AA72" s="37"/>
      <c r="AB72" s="37"/>
      <c r="AC72" s="37"/>
      <c r="AD72" s="47" t="str">
        <f>IF(Tabela2[[#This Row],[progresso_pct]] = 100,IFERROR((Tabela2[[#This Row],[Retorno Previsto $]]-Tabela2[[#This Row],[spent_capex]])/Tabela2[[#This Row],[spent_capex]]," ")," ")</f>
        <v xml:space="preserve"> </v>
      </c>
      <c r="AE72" s="21"/>
      <c r="AF72" s="21"/>
      <c r="AG72" s="21"/>
      <c r="AH72" s="21"/>
      <c r="AI72" s="21"/>
      <c r="AJ72" s="21"/>
      <c r="AK72" s="21"/>
      <c r="AL72" s="21"/>
      <c r="AM72" s="21">
        <f>IFERROR(Tabela2[[#This Row],[Data Fim PMO]]-Tabela2[[#This Row],[Data Pedido PMO]],"")</f>
        <v>0</v>
      </c>
      <c r="AN72" s="21"/>
      <c r="AO72" s="21"/>
      <c r="AP72" s="21" t="str">
        <f>IF(Tabela2[[#This Row],[Data Fim Prototipagem2]]=0," ",IFERROR(Tabela2[[#This Row],[Data Fim Prototipagem2]]-Tabela2[[#This Row],[Data Inicio Prototipagem]],""))</f>
        <v xml:space="preserve"> </v>
      </c>
      <c r="AQ72" s="21"/>
      <c r="AR72" s="21"/>
    </row>
    <row r="73" spans="1:44" x14ac:dyDescent="0.35">
      <c r="A73" s="21"/>
      <c r="B73" s="23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2"/>
      <c r="O73" s="22"/>
      <c r="P73" s="22"/>
      <c r="Q73" s="22"/>
      <c r="R73" s="22"/>
      <c r="S73" s="22"/>
      <c r="T73" s="39"/>
      <c r="U73" s="21"/>
      <c r="V73" s="21"/>
      <c r="W73" s="50">
        <f>((Tabela2[[#This Row],[Horas economizadas anuais]] / 12) / 4)</f>
        <v>0</v>
      </c>
      <c r="X73" s="37">
        <f>(_xlfn.XLOOKUP(Tabela2[[#This Row],[setor]],dim_custo_setor_horas!A:A,dim_custo_setor_horas!B:B))*Tabela2[[#This Row],[Horas economizadas anuais]]</f>
        <v>0</v>
      </c>
      <c r="Y73" s="37">
        <f>IF(Tabela2[[#This Row],[progresso_pct]]=100,Tabela2[[#This Row],[Retorno Previsto $]],0)</f>
        <v>0</v>
      </c>
      <c r="Z73" s="37"/>
      <c r="AA73" s="37"/>
      <c r="AB73" s="37"/>
      <c r="AC73" s="37"/>
      <c r="AD73" s="47" t="str">
        <f>IF(Tabela2[[#This Row],[progresso_pct]] = 100,IFERROR((Tabela2[[#This Row],[Retorno Previsto $]]-Tabela2[[#This Row],[spent_capex]])/Tabela2[[#This Row],[spent_capex]]," ")," ")</f>
        <v xml:space="preserve"> </v>
      </c>
      <c r="AE73" s="21"/>
      <c r="AF73" s="21"/>
      <c r="AG73" s="21"/>
      <c r="AH73" s="21"/>
      <c r="AI73" s="21"/>
      <c r="AJ73" s="21"/>
      <c r="AK73" s="21"/>
      <c r="AL73" s="21"/>
      <c r="AM73" s="21">
        <f>IFERROR(Tabela2[[#This Row],[Data Fim PMO]]-Tabela2[[#This Row],[Data Pedido PMO]],"")</f>
        <v>0</v>
      </c>
      <c r="AN73" s="21"/>
      <c r="AO73" s="21"/>
      <c r="AP73" s="21" t="str">
        <f>IF(Tabela2[[#This Row],[Data Fim Prototipagem2]]=0," ",IFERROR(Tabela2[[#This Row],[Data Fim Prototipagem2]]-Tabela2[[#This Row],[Data Inicio Prototipagem]],""))</f>
        <v xml:space="preserve"> </v>
      </c>
      <c r="AQ73" s="21"/>
      <c r="AR73" s="21"/>
    </row>
    <row r="74" spans="1:44" x14ac:dyDescent="0.35">
      <c r="A74" s="21"/>
      <c r="B74" s="23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2"/>
      <c r="O74" s="22"/>
      <c r="P74" s="22"/>
      <c r="Q74" s="22"/>
      <c r="R74" s="22"/>
      <c r="S74" s="22"/>
      <c r="T74" s="39"/>
      <c r="U74" s="21"/>
      <c r="V74" s="21"/>
      <c r="W74" s="50">
        <f>((Tabela2[[#This Row],[Horas economizadas anuais]] / 12) / 4)</f>
        <v>0</v>
      </c>
      <c r="X74" s="37">
        <f>(_xlfn.XLOOKUP(Tabela2[[#This Row],[setor]],dim_custo_setor_horas!A:A,dim_custo_setor_horas!B:B))*Tabela2[[#This Row],[Horas economizadas anuais]]</f>
        <v>0</v>
      </c>
      <c r="Y74" s="37">
        <f>IF(Tabela2[[#This Row],[progresso_pct]]=100,Tabela2[[#This Row],[Retorno Previsto $]],0)</f>
        <v>0</v>
      </c>
      <c r="Z74" s="37"/>
      <c r="AA74" s="37"/>
      <c r="AB74" s="37"/>
      <c r="AC74" s="37"/>
      <c r="AD74" s="47" t="str">
        <f>IF(Tabela2[[#This Row],[progresso_pct]] = 100,IFERROR((Tabela2[[#This Row],[Retorno Previsto $]]-Tabela2[[#This Row],[spent_capex]])/Tabela2[[#This Row],[spent_capex]]," ")," ")</f>
        <v xml:space="preserve"> </v>
      </c>
      <c r="AE74" s="21"/>
      <c r="AF74" s="21"/>
      <c r="AG74" s="21"/>
      <c r="AH74" s="21"/>
      <c r="AI74" s="21"/>
      <c r="AJ74" s="21"/>
      <c r="AK74" s="21"/>
      <c r="AL74" s="21"/>
      <c r="AM74" s="21">
        <f>IFERROR(Tabela2[[#This Row],[Data Fim PMO]]-Tabela2[[#This Row],[Data Pedido PMO]],"")</f>
        <v>0</v>
      </c>
      <c r="AN74" s="21"/>
      <c r="AO74" s="21"/>
      <c r="AP74" s="21" t="str">
        <f>IF(Tabela2[[#This Row],[Data Fim Prototipagem2]]=0," ",IFERROR(Tabela2[[#This Row],[Data Fim Prototipagem2]]-Tabela2[[#This Row],[Data Inicio Prototipagem]],""))</f>
        <v xml:space="preserve"> </v>
      </c>
      <c r="AQ74" s="21"/>
      <c r="AR74" s="21"/>
    </row>
    <row r="75" spans="1:44" x14ac:dyDescent="0.35">
      <c r="A75" s="21"/>
      <c r="B75" s="23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2"/>
      <c r="O75" s="22"/>
      <c r="P75" s="22"/>
      <c r="Q75" s="22"/>
      <c r="R75" s="22"/>
      <c r="S75" s="22"/>
      <c r="T75" s="39"/>
      <c r="U75" s="21"/>
      <c r="V75" s="21"/>
      <c r="W75" s="50">
        <f>((Tabela2[[#This Row],[Horas economizadas anuais]] / 12) / 4)</f>
        <v>0</v>
      </c>
      <c r="X75" s="37">
        <f>(_xlfn.XLOOKUP(Tabela2[[#This Row],[setor]],dim_custo_setor_horas!A:A,dim_custo_setor_horas!B:B))*Tabela2[[#This Row],[Horas economizadas anuais]]</f>
        <v>0</v>
      </c>
      <c r="Y75" s="37">
        <f>IF(Tabela2[[#This Row],[progresso_pct]]=100,Tabela2[[#This Row],[Retorno Previsto $]],0)</f>
        <v>0</v>
      </c>
      <c r="Z75" s="37"/>
      <c r="AA75" s="37"/>
      <c r="AB75" s="37"/>
      <c r="AC75" s="37"/>
      <c r="AD75" s="47" t="str">
        <f>IF(Tabela2[[#This Row],[progresso_pct]] = 100,IFERROR((Tabela2[[#This Row],[Retorno Previsto $]]-Tabela2[[#This Row],[spent_capex]])/Tabela2[[#This Row],[spent_capex]]," ")," ")</f>
        <v xml:space="preserve"> </v>
      </c>
      <c r="AE75" s="21"/>
      <c r="AF75" s="21"/>
      <c r="AG75" s="21"/>
      <c r="AH75" s="21"/>
      <c r="AI75" s="21"/>
      <c r="AJ75" s="21"/>
      <c r="AK75" s="21"/>
      <c r="AL75" s="21"/>
      <c r="AM75" s="21">
        <f>IFERROR(Tabela2[[#This Row],[Data Fim PMO]]-Tabela2[[#This Row],[Data Pedido PMO]],"")</f>
        <v>0</v>
      </c>
      <c r="AN75" s="21"/>
      <c r="AO75" s="21"/>
      <c r="AP75" s="21" t="str">
        <f>IF(Tabela2[[#This Row],[Data Fim Prototipagem2]]=0," ",IFERROR(Tabela2[[#This Row],[Data Fim Prototipagem2]]-Tabela2[[#This Row],[Data Inicio Prototipagem]],""))</f>
        <v xml:space="preserve"> </v>
      </c>
      <c r="AQ75" s="21"/>
      <c r="AR75" s="21"/>
    </row>
    <row r="76" spans="1:44" x14ac:dyDescent="0.35">
      <c r="A76" s="21"/>
      <c r="B76" s="23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2"/>
      <c r="O76" s="22"/>
      <c r="P76" s="22"/>
      <c r="Q76" s="22"/>
      <c r="R76" s="22"/>
      <c r="S76" s="22"/>
      <c r="T76" s="39"/>
      <c r="U76" s="21"/>
      <c r="V76" s="21"/>
      <c r="W76" s="50">
        <f>((Tabela2[[#This Row],[Horas economizadas anuais]] / 12) / 4)</f>
        <v>0</v>
      </c>
      <c r="X76" s="37">
        <f>(_xlfn.XLOOKUP(Tabela2[[#This Row],[setor]],dim_custo_setor_horas!A:A,dim_custo_setor_horas!B:B))*Tabela2[[#This Row],[Horas economizadas anuais]]</f>
        <v>0</v>
      </c>
      <c r="Y76" s="37">
        <f>IF(Tabela2[[#This Row],[progresso_pct]]=100,Tabela2[[#This Row],[Retorno Previsto $]],0)</f>
        <v>0</v>
      </c>
      <c r="Z76" s="37"/>
      <c r="AA76" s="37"/>
      <c r="AB76" s="37"/>
      <c r="AC76" s="37"/>
      <c r="AD76" s="47" t="str">
        <f>IF(Tabela2[[#This Row],[progresso_pct]] = 100,IFERROR((Tabela2[[#This Row],[Retorno Previsto $]]-Tabela2[[#This Row],[spent_capex]])/Tabela2[[#This Row],[spent_capex]]," ")," ")</f>
        <v xml:space="preserve"> </v>
      </c>
      <c r="AE76" s="21"/>
      <c r="AF76" s="21"/>
      <c r="AG76" s="21"/>
      <c r="AH76" s="21"/>
      <c r="AI76" s="21"/>
      <c r="AJ76" s="21"/>
      <c r="AK76" s="21"/>
      <c r="AL76" s="21"/>
      <c r="AM76" s="21">
        <f>IFERROR(Tabela2[[#This Row],[Data Fim PMO]]-Tabela2[[#This Row],[Data Pedido PMO]],"")</f>
        <v>0</v>
      </c>
      <c r="AN76" s="21"/>
      <c r="AO76" s="21"/>
      <c r="AP76" s="21" t="str">
        <f>IF(Tabela2[[#This Row],[Data Fim Prototipagem2]]=0," ",IFERROR(Tabela2[[#This Row],[Data Fim Prototipagem2]]-Tabela2[[#This Row],[Data Inicio Prototipagem]],""))</f>
        <v xml:space="preserve"> </v>
      </c>
      <c r="AQ76" s="21"/>
      <c r="AR76" s="21"/>
    </row>
    <row r="77" spans="1:44" x14ac:dyDescent="0.35">
      <c r="A77" s="21"/>
      <c r="B77" s="23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2"/>
      <c r="O77" s="22"/>
      <c r="P77" s="22"/>
      <c r="Q77" s="22"/>
      <c r="R77" s="22"/>
      <c r="S77" s="22"/>
      <c r="T77" s="39"/>
      <c r="U77" s="21"/>
      <c r="V77" s="21"/>
      <c r="W77" s="50">
        <f>((Tabela2[[#This Row],[Horas economizadas anuais]] / 12) / 4)</f>
        <v>0</v>
      </c>
      <c r="X77" s="37">
        <f>(_xlfn.XLOOKUP(Tabela2[[#This Row],[setor]],dim_custo_setor_horas!A:A,dim_custo_setor_horas!B:B))*Tabela2[[#This Row],[Horas economizadas anuais]]</f>
        <v>0</v>
      </c>
      <c r="Y77" s="37">
        <f>IF(Tabela2[[#This Row],[progresso_pct]]=100,Tabela2[[#This Row],[Retorno Previsto $]],0)</f>
        <v>0</v>
      </c>
      <c r="Z77" s="37"/>
      <c r="AA77" s="37"/>
      <c r="AB77" s="37"/>
      <c r="AC77" s="37"/>
      <c r="AD77" s="47" t="str">
        <f>IF(Tabela2[[#This Row],[progresso_pct]] = 100,IFERROR((Tabela2[[#This Row],[Retorno Previsto $]]-Tabela2[[#This Row],[spent_capex]])/Tabela2[[#This Row],[spent_capex]]," ")," ")</f>
        <v xml:space="preserve"> </v>
      </c>
      <c r="AE77" s="21"/>
      <c r="AF77" s="21"/>
      <c r="AG77" s="21"/>
      <c r="AH77" s="21"/>
      <c r="AI77" s="21"/>
      <c r="AJ77" s="21"/>
      <c r="AK77" s="21"/>
      <c r="AL77" s="21"/>
      <c r="AM77" s="21">
        <f>IFERROR(Tabela2[[#This Row],[Data Fim PMO]]-Tabela2[[#This Row],[Data Pedido PMO]],"")</f>
        <v>0</v>
      </c>
      <c r="AN77" s="21"/>
      <c r="AO77" s="21"/>
      <c r="AP77" s="21" t="str">
        <f>IF(Tabela2[[#This Row],[Data Fim Prototipagem2]]=0," ",IFERROR(Tabela2[[#This Row],[Data Fim Prototipagem2]]-Tabela2[[#This Row],[Data Inicio Prototipagem]],""))</f>
        <v xml:space="preserve"> </v>
      </c>
      <c r="AQ77" s="21"/>
      <c r="AR77" s="21"/>
    </row>
    <row r="78" spans="1:44" x14ac:dyDescent="0.35">
      <c r="A78" s="21"/>
      <c r="B78" s="23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2"/>
      <c r="O78" s="22"/>
      <c r="P78" s="22"/>
      <c r="Q78" s="22"/>
      <c r="R78" s="22"/>
      <c r="S78" s="22"/>
      <c r="T78" s="39"/>
      <c r="U78" s="21"/>
      <c r="V78" s="21"/>
      <c r="W78" s="50">
        <f>((Tabela2[[#This Row],[Horas economizadas anuais]] / 12) / 4)</f>
        <v>0</v>
      </c>
      <c r="X78" s="37">
        <f>(_xlfn.XLOOKUP(Tabela2[[#This Row],[setor]],dim_custo_setor_horas!A:A,dim_custo_setor_horas!B:B))*Tabela2[[#This Row],[Horas economizadas anuais]]</f>
        <v>0</v>
      </c>
      <c r="Y78" s="37">
        <f>IF(Tabela2[[#This Row],[progresso_pct]]=100,Tabela2[[#This Row],[Retorno Previsto $]],0)</f>
        <v>0</v>
      </c>
      <c r="Z78" s="37"/>
      <c r="AA78" s="37"/>
      <c r="AB78" s="37"/>
      <c r="AC78" s="37"/>
      <c r="AD78" s="47" t="str">
        <f>IF(Tabela2[[#This Row],[progresso_pct]] = 100,IFERROR((Tabela2[[#This Row],[Retorno Previsto $]]-Tabela2[[#This Row],[spent_capex]])/Tabela2[[#This Row],[spent_capex]]," ")," ")</f>
        <v xml:space="preserve"> </v>
      </c>
      <c r="AE78" s="21"/>
      <c r="AF78" s="21"/>
      <c r="AG78" s="21"/>
      <c r="AH78" s="21"/>
      <c r="AI78" s="21"/>
      <c r="AJ78" s="21"/>
      <c r="AK78" s="21"/>
      <c r="AL78" s="21"/>
      <c r="AM78" s="21">
        <f>IFERROR(Tabela2[[#This Row],[Data Fim PMO]]-Tabela2[[#This Row],[Data Pedido PMO]],"")</f>
        <v>0</v>
      </c>
      <c r="AN78" s="21"/>
      <c r="AO78" s="21"/>
      <c r="AP78" s="21" t="str">
        <f>IF(Tabela2[[#This Row],[Data Fim Prototipagem2]]=0," ",IFERROR(Tabela2[[#This Row],[Data Fim Prototipagem2]]-Tabela2[[#This Row],[Data Inicio Prototipagem]],""))</f>
        <v xml:space="preserve"> </v>
      </c>
      <c r="AQ78" s="21"/>
      <c r="AR78" s="21"/>
    </row>
    <row r="79" spans="1:44" x14ac:dyDescent="0.35">
      <c r="A79" s="21"/>
      <c r="B79" s="23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2"/>
      <c r="O79" s="22"/>
      <c r="P79" s="22"/>
      <c r="Q79" s="22"/>
      <c r="R79" s="22"/>
      <c r="S79" s="22"/>
      <c r="T79" s="39"/>
      <c r="U79" s="21"/>
      <c r="V79" s="21"/>
      <c r="W79" s="50">
        <f>((Tabela2[[#This Row],[Horas economizadas anuais]] / 12) / 4)</f>
        <v>0</v>
      </c>
      <c r="X79" s="37">
        <f>(_xlfn.XLOOKUP(Tabela2[[#This Row],[setor]],dim_custo_setor_horas!A:A,dim_custo_setor_horas!B:B))*Tabela2[[#This Row],[Horas economizadas anuais]]</f>
        <v>0</v>
      </c>
      <c r="Y79" s="37">
        <f>IF(Tabela2[[#This Row],[progresso_pct]]=100,Tabela2[[#This Row],[Retorno Previsto $]],0)</f>
        <v>0</v>
      </c>
      <c r="Z79" s="37"/>
      <c r="AA79" s="37"/>
      <c r="AB79" s="37"/>
      <c r="AC79" s="37"/>
      <c r="AD79" s="47" t="str">
        <f>IF(Tabela2[[#This Row],[progresso_pct]] = 100,IFERROR((Tabela2[[#This Row],[Retorno Previsto $]]-Tabela2[[#This Row],[spent_capex]])/Tabela2[[#This Row],[spent_capex]]," ")," ")</f>
        <v xml:space="preserve"> </v>
      </c>
      <c r="AE79" s="21"/>
      <c r="AF79" s="21"/>
      <c r="AG79" s="21"/>
      <c r="AH79" s="21"/>
      <c r="AI79" s="21"/>
      <c r="AJ79" s="21"/>
      <c r="AK79" s="21"/>
      <c r="AL79" s="21"/>
      <c r="AM79" s="21">
        <f>IFERROR(Tabela2[[#This Row],[Data Fim PMO]]-Tabela2[[#This Row],[Data Pedido PMO]],"")</f>
        <v>0</v>
      </c>
      <c r="AN79" s="21"/>
      <c r="AO79" s="21"/>
      <c r="AP79" s="21" t="str">
        <f>IF(Tabela2[[#This Row],[Data Fim Prototipagem2]]=0," ",IFERROR(Tabela2[[#This Row],[Data Fim Prototipagem2]]-Tabela2[[#This Row],[Data Inicio Prototipagem]],""))</f>
        <v xml:space="preserve"> </v>
      </c>
      <c r="AQ79" s="21"/>
      <c r="AR79" s="21"/>
    </row>
    <row r="80" spans="1:44" x14ac:dyDescent="0.35">
      <c r="A80" s="21"/>
      <c r="B80" s="23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2"/>
      <c r="O80" s="22"/>
      <c r="P80" s="22"/>
      <c r="Q80" s="22"/>
      <c r="R80" s="22"/>
      <c r="S80" s="22"/>
      <c r="T80" s="39"/>
      <c r="U80" s="21"/>
      <c r="V80" s="21"/>
      <c r="W80" s="50">
        <f>((Tabela2[[#This Row],[Horas economizadas anuais]] / 12) / 4)</f>
        <v>0</v>
      </c>
      <c r="X80" s="37">
        <f>(_xlfn.XLOOKUP(Tabela2[[#This Row],[setor]],dim_custo_setor_horas!A:A,dim_custo_setor_horas!B:B))*Tabela2[[#This Row],[Horas economizadas anuais]]</f>
        <v>0</v>
      </c>
      <c r="Y80" s="37">
        <f>IF(Tabela2[[#This Row],[progresso_pct]]=100,Tabela2[[#This Row],[Retorno Previsto $]],0)</f>
        <v>0</v>
      </c>
      <c r="Z80" s="37"/>
      <c r="AA80" s="37"/>
      <c r="AB80" s="37"/>
      <c r="AC80" s="37"/>
      <c r="AD80" s="47" t="str">
        <f>IF(Tabela2[[#This Row],[progresso_pct]] = 100,IFERROR((Tabela2[[#This Row],[Retorno Previsto $]]-Tabela2[[#This Row],[spent_capex]])/Tabela2[[#This Row],[spent_capex]]," ")," ")</f>
        <v xml:space="preserve"> </v>
      </c>
      <c r="AE80" s="21"/>
      <c r="AF80" s="21"/>
      <c r="AG80" s="21"/>
      <c r="AH80" s="21"/>
      <c r="AI80" s="21"/>
      <c r="AJ80" s="21"/>
      <c r="AK80" s="21"/>
      <c r="AL80" s="21"/>
      <c r="AM80" s="21">
        <f>IFERROR(Tabela2[[#This Row],[Data Fim PMO]]-Tabela2[[#This Row],[Data Pedido PMO]],"")</f>
        <v>0</v>
      </c>
      <c r="AN80" s="21"/>
      <c r="AO80" s="21"/>
      <c r="AP80" s="21" t="str">
        <f>IF(Tabela2[[#This Row],[Data Fim Prototipagem2]]=0," ",IFERROR(Tabela2[[#This Row],[Data Fim Prototipagem2]]-Tabela2[[#This Row],[Data Inicio Prototipagem]],""))</f>
        <v xml:space="preserve"> </v>
      </c>
      <c r="AQ80" s="21"/>
      <c r="AR80" s="21"/>
    </row>
    <row r="81" spans="1:44" x14ac:dyDescent="0.35">
      <c r="A81" s="21"/>
      <c r="B81" s="23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2"/>
      <c r="O81" s="22"/>
      <c r="P81" s="22"/>
      <c r="Q81" s="22"/>
      <c r="R81" s="22"/>
      <c r="S81" s="22"/>
      <c r="T81" s="39"/>
      <c r="U81" s="21"/>
      <c r="V81" s="21"/>
      <c r="W81" s="50">
        <f>((Tabela2[[#This Row],[Horas economizadas anuais]] / 12) / 4)</f>
        <v>0</v>
      </c>
      <c r="X81" s="37">
        <f>(_xlfn.XLOOKUP(Tabela2[[#This Row],[setor]],dim_custo_setor_horas!A:A,dim_custo_setor_horas!B:B))*Tabela2[[#This Row],[Horas economizadas anuais]]</f>
        <v>0</v>
      </c>
      <c r="Y81" s="37">
        <f>IF(Tabela2[[#This Row],[progresso_pct]]=100,Tabela2[[#This Row],[Retorno Previsto $]],0)</f>
        <v>0</v>
      </c>
      <c r="Z81" s="37"/>
      <c r="AA81" s="37"/>
      <c r="AB81" s="37"/>
      <c r="AC81" s="37"/>
      <c r="AD81" s="47" t="str">
        <f>IF(Tabela2[[#This Row],[progresso_pct]] = 100,IFERROR((Tabela2[[#This Row],[Retorno Previsto $]]-Tabela2[[#This Row],[spent_capex]])/Tabela2[[#This Row],[spent_capex]]," ")," ")</f>
        <v xml:space="preserve"> </v>
      </c>
      <c r="AE81" s="21"/>
      <c r="AF81" s="21"/>
      <c r="AG81" s="21"/>
      <c r="AH81" s="21"/>
      <c r="AI81" s="21"/>
      <c r="AJ81" s="21"/>
      <c r="AK81" s="21"/>
      <c r="AL81" s="21"/>
      <c r="AM81" s="21">
        <f>IFERROR(Tabela2[[#This Row],[Data Fim PMO]]-Tabela2[[#This Row],[Data Pedido PMO]],"")</f>
        <v>0</v>
      </c>
      <c r="AN81" s="21"/>
      <c r="AO81" s="21"/>
      <c r="AP81" s="21" t="str">
        <f>IF(Tabela2[[#This Row],[Data Fim Prototipagem2]]=0," ",IFERROR(Tabela2[[#This Row],[Data Fim Prototipagem2]]-Tabela2[[#This Row],[Data Inicio Prototipagem]],""))</f>
        <v xml:space="preserve"> </v>
      </c>
      <c r="AQ81" s="21"/>
      <c r="AR81" s="21"/>
    </row>
    <row r="82" spans="1:44" x14ac:dyDescent="0.35">
      <c r="A82" s="21"/>
      <c r="B82" s="23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2"/>
      <c r="O82" s="22"/>
      <c r="P82" s="22"/>
      <c r="Q82" s="22"/>
      <c r="R82" s="22"/>
      <c r="S82" s="22"/>
      <c r="T82" s="39"/>
      <c r="U82" s="21"/>
      <c r="V82" s="21"/>
      <c r="W82" s="50">
        <f>((Tabela2[[#This Row],[Horas economizadas anuais]] / 12) / 4)</f>
        <v>0</v>
      </c>
      <c r="X82" s="37">
        <f>(_xlfn.XLOOKUP(Tabela2[[#This Row],[setor]],dim_custo_setor_horas!A:A,dim_custo_setor_horas!B:B))*Tabela2[[#This Row],[Horas economizadas anuais]]</f>
        <v>0</v>
      </c>
      <c r="Y82" s="37">
        <f>IF(Tabela2[[#This Row],[progresso_pct]]=100,Tabela2[[#This Row],[Retorno Previsto $]],0)</f>
        <v>0</v>
      </c>
      <c r="Z82" s="37"/>
      <c r="AA82" s="37"/>
      <c r="AB82" s="37"/>
      <c r="AC82" s="37"/>
      <c r="AD82" s="47" t="str">
        <f>IF(Tabela2[[#This Row],[progresso_pct]] = 100,IFERROR((Tabela2[[#This Row],[Retorno Previsto $]]-Tabela2[[#This Row],[spent_capex]])/Tabela2[[#This Row],[spent_capex]]," ")," ")</f>
        <v xml:space="preserve"> </v>
      </c>
      <c r="AE82" s="21"/>
      <c r="AF82" s="21"/>
      <c r="AG82" s="21"/>
      <c r="AH82" s="21"/>
      <c r="AI82" s="21"/>
      <c r="AJ82" s="21"/>
      <c r="AK82" s="21"/>
      <c r="AL82" s="21"/>
      <c r="AM82" s="21">
        <f>IFERROR(Tabela2[[#This Row],[Data Fim PMO]]-Tabela2[[#This Row],[Data Pedido PMO]],"")</f>
        <v>0</v>
      </c>
      <c r="AN82" s="21"/>
      <c r="AO82" s="21"/>
      <c r="AP82" s="21" t="str">
        <f>IF(Tabela2[[#This Row],[Data Fim Prototipagem2]]=0," ",IFERROR(Tabela2[[#This Row],[Data Fim Prototipagem2]]-Tabela2[[#This Row],[Data Inicio Prototipagem]],""))</f>
        <v xml:space="preserve"> </v>
      </c>
      <c r="AQ82" s="21"/>
      <c r="AR82" s="21"/>
    </row>
    <row r="83" spans="1:44" x14ac:dyDescent="0.35">
      <c r="A83" s="21"/>
      <c r="B83" s="23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2"/>
      <c r="O83" s="22"/>
      <c r="P83" s="22"/>
      <c r="Q83" s="22"/>
      <c r="R83" s="22"/>
      <c r="S83" s="22"/>
      <c r="T83" s="39"/>
      <c r="U83" s="21"/>
      <c r="V83" s="21"/>
      <c r="W83" s="50">
        <f>((Tabela2[[#This Row],[Horas economizadas anuais]] / 12) / 4)</f>
        <v>0</v>
      </c>
      <c r="X83" s="37">
        <f>(_xlfn.XLOOKUP(Tabela2[[#This Row],[setor]],dim_custo_setor_horas!A:A,dim_custo_setor_horas!B:B))*Tabela2[[#This Row],[Horas economizadas anuais]]</f>
        <v>0</v>
      </c>
      <c r="Y83" s="37">
        <f>IF(Tabela2[[#This Row],[progresso_pct]]=100,Tabela2[[#This Row],[Retorno Previsto $]],0)</f>
        <v>0</v>
      </c>
      <c r="Z83" s="37"/>
      <c r="AA83" s="37"/>
      <c r="AB83" s="37"/>
      <c r="AC83" s="37"/>
      <c r="AD83" s="47" t="str">
        <f>IF(Tabela2[[#This Row],[progresso_pct]] = 100,IFERROR((Tabela2[[#This Row],[Retorno Previsto $]]-Tabela2[[#This Row],[spent_capex]])/Tabela2[[#This Row],[spent_capex]]," ")," ")</f>
        <v xml:space="preserve"> </v>
      </c>
      <c r="AE83" s="21"/>
      <c r="AF83" s="21"/>
      <c r="AG83" s="21"/>
      <c r="AH83" s="21"/>
      <c r="AI83" s="21"/>
      <c r="AJ83" s="21"/>
      <c r="AK83" s="21"/>
      <c r="AL83" s="21"/>
      <c r="AM83" s="21">
        <f>IFERROR(Tabela2[[#This Row],[Data Fim PMO]]-Tabela2[[#This Row],[Data Pedido PMO]],"")</f>
        <v>0</v>
      </c>
      <c r="AN83" s="21"/>
      <c r="AO83" s="21"/>
      <c r="AP83" s="21" t="str">
        <f>IF(Tabela2[[#This Row],[Data Fim Prototipagem2]]=0," ",IFERROR(Tabela2[[#This Row],[Data Fim Prototipagem2]]-Tabela2[[#This Row],[Data Inicio Prototipagem]],""))</f>
        <v xml:space="preserve"> </v>
      </c>
      <c r="AQ83" s="21"/>
      <c r="AR83" s="21"/>
    </row>
    <row r="84" spans="1:44" x14ac:dyDescent="0.35">
      <c r="A84" s="21"/>
      <c r="B84" s="23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2"/>
      <c r="O84" s="22"/>
      <c r="P84" s="22"/>
      <c r="Q84" s="22"/>
      <c r="R84" s="22"/>
      <c r="S84" s="22"/>
      <c r="T84" s="39"/>
      <c r="U84" s="21"/>
      <c r="V84" s="21"/>
      <c r="W84" s="50">
        <f>((Tabela2[[#This Row],[Horas economizadas anuais]] / 12) / 4)</f>
        <v>0</v>
      </c>
      <c r="X84" s="37">
        <f>(_xlfn.XLOOKUP(Tabela2[[#This Row],[setor]],dim_custo_setor_horas!A:A,dim_custo_setor_horas!B:B))*Tabela2[[#This Row],[Horas economizadas anuais]]</f>
        <v>0</v>
      </c>
      <c r="Y84" s="37">
        <f>IF(Tabela2[[#This Row],[progresso_pct]]=100,Tabela2[[#This Row],[Retorno Previsto $]],0)</f>
        <v>0</v>
      </c>
      <c r="Z84" s="37"/>
      <c r="AA84" s="37"/>
      <c r="AB84" s="37"/>
      <c r="AC84" s="37"/>
      <c r="AD84" s="47" t="str">
        <f>IF(Tabela2[[#This Row],[progresso_pct]] = 100,IFERROR((Tabela2[[#This Row],[Retorno Previsto $]]-Tabela2[[#This Row],[spent_capex]])/Tabela2[[#This Row],[spent_capex]]," ")," ")</f>
        <v xml:space="preserve"> </v>
      </c>
      <c r="AE84" s="21"/>
      <c r="AF84" s="21"/>
      <c r="AG84" s="21"/>
      <c r="AH84" s="21"/>
      <c r="AI84" s="21"/>
      <c r="AJ84" s="21"/>
      <c r="AK84" s="21"/>
      <c r="AL84" s="21"/>
      <c r="AM84" s="21">
        <f>IFERROR(Tabela2[[#This Row],[Data Fim PMO]]-Tabela2[[#This Row],[Data Pedido PMO]],"")</f>
        <v>0</v>
      </c>
      <c r="AN84" s="21"/>
      <c r="AO84" s="21"/>
      <c r="AP84" s="21" t="str">
        <f>IF(Tabela2[[#This Row],[Data Fim Prototipagem2]]=0," ",IFERROR(Tabela2[[#This Row],[Data Fim Prototipagem2]]-Tabela2[[#This Row],[Data Inicio Prototipagem]],""))</f>
        <v xml:space="preserve"> </v>
      </c>
      <c r="AQ84" s="21"/>
      <c r="AR84" s="21"/>
    </row>
    <row r="85" spans="1:44" x14ac:dyDescent="0.35">
      <c r="A85" s="21"/>
      <c r="B85" s="23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2"/>
      <c r="O85" s="22"/>
      <c r="P85" s="22"/>
      <c r="Q85" s="22"/>
      <c r="R85" s="22"/>
      <c r="S85" s="22"/>
      <c r="T85" s="39"/>
      <c r="U85" s="21"/>
      <c r="V85" s="21"/>
      <c r="W85" s="50">
        <f>((Tabela2[[#This Row],[Horas economizadas anuais]] / 12) / 4)</f>
        <v>0</v>
      </c>
      <c r="X85" s="37">
        <f>(_xlfn.XLOOKUP(Tabela2[[#This Row],[setor]],dim_custo_setor_horas!A:A,dim_custo_setor_horas!B:B))*Tabela2[[#This Row],[Horas economizadas anuais]]</f>
        <v>0</v>
      </c>
      <c r="Y85" s="37">
        <f>IF(Tabela2[[#This Row],[progresso_pct]]=100,Tabela2[[#This Row],[Retorno Previsto $]],0)</f>
        <v>0</v>
      </c>
      <c r="Z85" s="37"/>
      <c r="AA85" s="37"/>
      <c r="AB85" s="37"/>
      <c r="AC85" s="37"/>
      <c r="AD85" s="47" t="str">
        <f>IF(Tabela2[[#This Row],[progresso_pct]] = 100,IFERROR((Tabela2[[#This Row],[Retorno Previsto $]]-Tabela2[[#This Row],[spent_capex]])/Tabela2[[#This Row],[spent_capex]]," ")," ")</f>
        <v xml:space="preserve"> </v>
      </c>
      <c r="AE85" s="21"/>
      <c r="AF85" s="21"/>
      <c r="AG85" s="21"/>
      <c r="AH85" s="21"/>
      <c r="AI85" s="21"/>
      <c r="AJ85" s="21"/>
      <c r="AK85" s="21"/>
      <c r="AL85" s="21"/>
      <c r="AM85" s="21">
        <f>IFERROR(Tabela2[[#This Row],[Data Fim PMO]]-Tabela2[[#This Row],[Data Pedido PMO]],"")</f>
        <v>0</v>
      </c>
      <c r="AN85" s="21"/>
      <c r="AO85" s="21"/>
      <c r="AP85" s="21" t="str">
        <f>IF(Tabela2[[#This Row],[Data Fim Prototipagem2]]=0," ",IFERROR(Tabela2[[#This Row],[Data Fim Prototipagem2]]-Tabela2[[#This Row],[Data Inicio Prototipagem]],""))</f>
        <v xml:space="preserve"> </v>
      </c>
      <c r="AQ85" s="21"/>
      <c r="AR85" s="21"/>
    </row>
    <row r="86" spans="1:44" x14ac:dyDescent="0.35">
      <c r="A86" s="21"/>
      <c r="B86" s="23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2"/>
      <c r="O86" s="22"/>
      <c r="P86" s="22"/>
      <c r="Q86" s="22"/>
      <c r="R86" s="22"/>
      <c r="S86" s="22"/>
      <c r="T86" s="39"/>
      <c r="U86" s="21"/>
      <c r="V86" s="21"/>
      <c r="W86" s="50">
        <f>((Tabela2[[#This Row],[Horas economizadas anuais]] / 12) / 4)</f>
        <v>0</v>
      </c>
      <c r="X86" s="37">
        <f>(_xlfn.XLOOKUP(Tabela2[[#This Row],[setor]],dim_custo_setor_horas!A:A,dim_custo_setor_horas!B:B))*Tabela2[[#This Row],[Horas economizadas anuais]]</f>
        <v>0</v>
      </c>
      <c r="Y86" s="37">
        <f>IF(Tabela2[[#This Row],[progresso_pct]]=100,Tabela2[[#This Row],[Retorno Previsto $]],0)</f>
        <v>0</v>
      </c>
      <c r="Z86" s="37"/>
      <c r="AA86" s="37"/>
      <c r="AB86" s="37"/>
      <c r="AC86" s="37"/>
      <c r="AD86" s="47" t="str">
        <f>IF(Tabela2[[#This Row],[progresso_pct]] = 100,IFERROR((Tabela2[[#This Row],[Retorno Previsto $]]-Tabela2[[#This Row],[spent_capex]])/Tabela2[[#This Row],[spent_capex]]," ")," ")</f>
        <v xml:space="preserve"> </v>
      </c>
      <c r="AE86" s="21"/>
      <c r="AF86" s="21"/>
      <c r="AG86" s="21"/>
      <c r="AH86" s="21"/>
      <c r="AI86" s="21"/>
      <c r="AJ86" s="21"/>
      <c r="AK86" s="21"/>
      <c r="AL86" s="21"/>
      <c r="AM86" s="21">
        <f>IFERROR(Tabela2[[#This Row],[Data Fim PMO]]-Tabela2[[#This Row],[Data Pedido PMO]],"")</f>
        <v>0</v>
      </c>
      <c r="AN86" s="21"/>
      <c r="AO86" s="21"/>
      <c r="AP86" s="21" t="str">
        <f>IF(Tabela2[[#This Row],[Data Fim Prototipagem2]]=0," ",IFERROR(Tabela2[[#This Row],[Data Fim Prototipagem2]]-Tabela2[[#This Row],[Data Inicio Prototipagem]],""))</f>
        <v xml:space="preserve"> </v>
      </c>
      <c r="AQ86" s="21"/>
      <c r="AR86" s="21"/>
    </row>
    <row r="87" spans="1:44" x14ac:dyDescent="0.35">
      <c r="A87" s="21"/>
      <c r="B87" s="23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2"/>
      <c r="O87" s="22"/>
      <c r="P87" s="22"/>
      <c r="Q87" s="22"/>
      <c r="R87" s="22"/>
      <c r="S87" s="22"/>
      <c r="T87" s="39"/>
      <c r="U87" s="21"/>
      <c r="V87" s="21"/>
      <c r="W87" s="50">
        <f>((Tabela2[[#This Row],[Horas economizadas anuais]] / 12) / 4)</f>
        <v>0</v>
      </c>
      <c r="X87" s="37">
        <f>(_xlfn.XLOOKUP(Tabela2[[#This Row],[setor]],dim_custo_setor_horas!A:A,dim_custo_setor_horas!B:B))*Tabela2[[#This Row],[Horas economizadas anuais]]</f>
        <v>0</v>
      </c>
      <c r="Y87" s="37">
        <f>IF(Tabela2[[#This Row],[progresso_pct]]=100,Tabela2[[#This Row],[Retorno Previsto $]],0)</f>
        <v>0</v>
      </c>
      <c r="Z87" s="37"/>
      <c r="AA87" s="37"/>
      <c r="AB87" s="37"/>
      <c r="AC87" s="37"/>
      <c r="AD87" s="47" t="str">
        <f>IF(Tabela2[[#This Row],[progresso_pct]] = 100,IFERROR((Tabela2[[#This Row],[Retorno Previsto $]]-Tabela2[[#This Row],[spent_capex]])/Tabela2[[#This Row],[spent_capex]]," ")," ")</f>
        <v xml:space="preserve"> </v>
      </c>
      <c r="AE87" s="21"/>
      <c r="AF87" s="21"/>
      <c r="AG87" s="21"/>
      <c r="AH87" s="21"/>
      <c r="AI87" s="21"/>
      <c r="AJ87" s="21"/>
      <c r="AK87" s="21"/>
      <c r="AL87" s="21"/>
      <c r="AM87" s="21">
        <f>IFERROR(Tabela2[[#This Row],[Data Fim PMO]]-Tabela2[[#This Row],[Data Pedido PMO]],"")</f>
        <v>0</v>
      </c>
      <c r="AN87" s="21"/>
      <c r="AO87" s="21"/>
      <c r="AP87" s="21" t="str">
        <f>IF(Tabela2[[#This Row],[Data Fim Prototipagem2]]=0," ",IFERROR(Tabela2[[#This Row],[Data Fim Prototipagem2]]-Tabela2[[#This Row],[Data Inicio Prototipagem]],""))</f>
        <v xml:space="preserve"> </v>
      </c>
      <c r="AQ87" s="21"/>
      <c r="AR87" s="21"/>
    </row>
    <row r="88" spans="1:44" x14ac:dyDescent="0.35">
      <c r="A88" s="21"/>
      <c r="B88" s="23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2"/>
      <c r="O88" s="22"/>
      <c r="P88" s="22"/>
      <c r="Q88" s="22"/>
      <c r="R88" s="22"/>
      <c r="S88" s="22"/>
      <c r="T88" s="39"/>
      <c r="U88" s="21"/>
      <c r="V88" s="21"/>
      <c r="W88" s="50">
        <f>((Tabela2[[#This Row],[Horas economizadas anuais]] / 12) / 4)</f>
        <v>0</v>
      </c>
      <c r="X88" s="37">
        <f>(_xlfn.XLOOKUP(Tabela2[[#This Row],[setor]],dim_custo_setor_horas!A:A,dim_custo_setor_horas!B:B))*Tabela2[[#This Row],[Horas economizadas anuais]]</f>
        <v>0</v>
      </c>
      <c r="Y88" s="37">
        <f>IF(Tabela2[[#This Row],[progresso_pct]]=100,Tabela2[[#This Row],[Retorno Previsto $]],0)</f>
        <v>0</v>
      </c>
      <c r="Z88" s="37"/>
      <c r="AA88" s="37"/>
      <c r="AB88" s="37"/>
      <c r="AC88" s="37"/>
      <c r="AD88" s="47" t="str">
        <f>IF(Tabela2[[#This Row],[progresso_pct]] = 100,IFERROR((Tabela2[[#This Row],[Retorno Previsto $]]-Tabela2[[#This Row],[spent_capex]])/Tabela2[[#This Row],[spent_capex]]," ")," ")</f>
        <v xml:space="preserve"> </v>
      </c>
      <c r="AE88" s="21"/>
      <c r="AF88" s="21"/>
      <c r="AG88" s="21"/>
      <c r="AH88" s="21"/>
      <c r="AI88" s="21"/>
      <c r="AJ88" s="21"/>
      <c r="AK88" s="21"/>
      <c r="AL88" s="21"/>
      <c r="AM88" s="21">
        <f>IFERROR(Tabela2[[#This Row],[Data Fim PMO]]-Tabela2[[#This Row],[Data Pedido PMO]],"")</f>
        <v>0</v>
      </c>
      <c r="AN88" s="21"/>
      <c r="AO88" s="21"/>
      <c r="AP88" s="21" t="str">
        <f>IF(Tabela2[[#This Row],[Data Fim Prototipagem2]]=0," ",IFERROR(Tabela2[[#This Row],[Data Fim Prototipagem2]]-Tabela2[[#This Row],[Data Inicio Prototipagem]],""))</f>
        <v xml:space="preserve"> </v>
      </c>
      <c r="AQ88" s="21"/>
      <c r="AR88" s="21"/>
    </row>
    <row r="89" spans="1:44" x14ac:dyDescent="0.35">
      <c r="A89" s="21"/>
      <c r="B89" s="23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2"/>
      <c r="O89" s="22"/>
      <c r="P89" s="22"/>
      <c r="Q89" s="22"/>
      <c r="R89" s="22"/>
      <c r="S89" s="22"/>
      <c r="T89" s="39"/>
      <c r="U89" s="21"/>
      <c r="V89" s="21"/>
      <c r="W89" s="50">
        <f>((Tabela2[[#This Row],[Horas economizadas anuais]] / 12) / 4)</f>
        <v>0</v>
      </c>
      <c r="X89" s="37">
        <f>(_xlfn.XLOOKUP(Tabela2[[#This Row],[setor]],dim_custo_setor_horas!A:A,dim_custo_setor_horas!B:B))*Tabela2[[#This Row],[Horas economizadas anuais]]</f>
        <v>0</v>
      </c>
      <c r="Y89" s="37">
        <f>IF(Tabela2[[#This Row],[progresso_pct]]=100,Tabela2[[#This Row],[Retorno Previsto $]],0)</f>
        <v>0</v>
      </c>
      <c r="Z89" s="37"/>
      <c r="AA89" s="37"/>
      <c r="AB89" s="37"/>
      <c r="AC89" s="37"/>
      <c r="AD89" s="47" t="str">
        <f>IF(Tabela2[[#This Row],[progresso_pct]] = 100,IFERROR((Tabela2[[#This Row],[Retorno Previsto $]]-Tabela2[[#This Row],[spent_capex]])/Tabela2[[#This Row],[spent_capex]]," ")," ")</f>
        <v xml:space="preserve"> </v>
      </c>
      <c r="AE89" s="21"/>
      <c r="AF89" s="21"/>
      <c r="AG89" s="21"/>
      <c r="AH89" s="21"/>
      <c r="AI89" s="21"/>
      <c r="AJ89" s="21"/>
      <c r="AK89" s="21"/>
      <c r="AL89" s="21"/>
      <c r="AM89" s="21">
        <f>IFERROR(Tabela2[[#This Row],[Data Fim PMO]]-Tabela2[[#This Row],[Data Pedido PMO]],"")</f>
        <v>0</v>
      </c>
      <c r="AN89" s="21"/>
      <c r="AO89" s="21"/>
      <c r="AP89" s="21" t="str">
        <f>IF(Tabela2[[#This Row],[Data Fim Prototipagem2]]=0," ",IFERROR(Tabela2[[#This Row],[Data Fim Prototipagem2]]-Tabela2[[#This Row],[Data Inicio Prototipagem]],""))</f>
        <v xml:space="preserve"> </v>
      </c>
      <c r="AQ89" s="21"/>
      <c r="AR89" s="21"/>
    </row>
    <row r="90" spans="1:44" x14ac:dyDescent="0.35">
      <c r="A90" s="21"/>
      <c r="B90" s="23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2"/>
      <c r="O90" s="22"/>
      <c r="P90" s="22"/>
      <c r="Q90" s="22"/>
      <c r="R90" s="22"/>
      <c r="S90" s="22"/>
      <c r="T90" s="39"/>
      <c r="U90" s="21"/>
      <c r="V90" s="21"/>
      <c r="W90" s="50">
        <f>((Tabela2[[#This Row],[Horas economizadas anuais]] / 12) / 4)</f>
        <v>0</v>
      </c>
      <c r="X90" s="37">
        <f>(_xlfn.XLOOKUP(Tabela2[[#This Row],[setor]],dim_custo_setor_horas!A:A,dim_custo_setor_horas!B:B))*Tabela2[[#This Row],[Horas economizadas anuais]]</f>
        <v>0</v>
      </c>
      <c r="Y90" s="37">
        <f>IF(Tabela2[[#This Row],[progresso_pct]]=100,Tabela2[[#This Row],[Retorno Previsto $]],0)</f>
        <v>0</v>
      </c>
      <c r="Z90" s="37"/>
      <c r="AA90" s="37"/>
      <c r="AB90" s="37"/>
      <c r="AC90" s="37"/>
      <c r="AD90" s="47" t="str">
        <f>IF(Tabela2[[#This Row],[progresso_pct]] = 100,IFERROR((Tabela2[[#This Row],[Retorno Previsto $]]-Tabela2[[#This Row],[spent_capex]])/Tabela2[[#This Row],[spent_capex]]," ")," ")</f>
        <v xml:space="preserve"> </v>
      </c>
      <c r="AE90" s="21"/>
      <c r="AF90" s="21"/>
      <c r="AG90" s="21"/>
      <c r="AH90" s="21"/>
      <c r="AI90" s="21"/>
      <c r="AJ90" s="21"/>
      <c r="AK90" s="21"/>
      <c r="AL90" s="21"/>
      <c r="AM90" s="21">
        <f>IFERROR(Tabela2[[#This Row],[Data Fim PMO]]-Tabela2[[#This Row],[Data Pedido PMO]],"")</f>
        <v>0</v>
      </c>
      <c r="AN90" s="21"/>
      <c r="AO90" s="21"/>
      <c r="AP90" s="21" t="str">
        <f>IF(Tabela2[[#This Row],[Data Fim Prototipagem2]]=0," ",IFERROR(Tabela2[[#This Row],[Data Fim Prototipagem2]]-Tabela2[[#This Row],[Data Inicio Prototipagem]],""))</f>
        <v xml:space="preserve"> </v>
      </c>
      <c r="AQ90" s="21"/>
      <c r="AR90" s="21"/>
    </row>
    <row r="91" spans="1:44" x14ac:dyDescent="0.35">
      <c r="A91" s="21"/>
      <c r="B91" s="23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2"/>
      <c r="O91" s="22"/>
      <c r="P91" s="22"/>
      <c r="Q91" s="22"/>
      <c r="R91" s="22"/>
      <c r="S91" s="22"/>
      <c r="T91" s="39"/>
      <c r="U91" s="21"/>
      <c r="V91" s="21"/>
      <c r="W91" s="50">
        <f>((Tabela2[[#This Row],[Horas economizadas anuais]] / 12) / 4)</f>
        <v>0</v>
      </c>
      <c r="X91" s="37">
        <f>(_xlfn.XLOOKUP(Tabela2[[#This Row],[setor]],dim_custo_setor_horas!A:A,dim_custo_setor_horas!B:B))*Tabela2[[#This Row],[Horas economizadas anuais]]</f>
        <v>0</v>
      </c>
      <c r="Y91" s="37">
        <f>IF(Tabela2[[#This Row],[progresso_pct]]=100,Tabela2[[#This Row],[Retorno Previsto $]],0)</f>
        <v>0</v>
      </c>
      <c r="Z91" s="37"/>
      <c r="AA91" s="37"/>
      <c r="AB91" s="37"/>
      <c r="AC91" s="37"/>
      <c r="AD91" s="47" t="str">
        <f>IF(Tabela2[[#This Row],[progresso_pct]] = 100,IFERROR((Tabela2[[#This Row],[Retorno Previsto $]]-Tabela2[[#This Row],[spent_capex]])/Tabela2[[#This Row],[spent_capex]]," ")," ")</f>
        <v xml:space="preserve"> </v>
      </c>
      <c r="AE91" s="21"/>
      <c r="AF91" s="21"/>
      <c r="AG91" s="21"/>
      <c r="AH91" s="21"/>
      <c r="AI91" s="21"/>
      <c r="AJ91" s="21"/>
      <c r="AK91" s="21"/>
      <c r="AL91" s="21"/>
      <c r="AM91" s="21">
        <f>IFERROR(Tabela2[[#This Row],[Data Fim PMO]]-Tabela2[[#This Row],[Data Pedido PMO]],"")</f>
        <v>0</v>
      </c>
      <c r="AN91" s="21"/>
      <c r="AO91" s="21"/>
      <c r="AP91" s="21" t="str">
        <f>IF(Tabela2[[#This Row],[Data Fim Prototipagem2]]=0," ",IFERROR(Tabela2[[#This Row],[Data Fim Prototipagem2]]-Tabela2[[#This Row],[Data Inicio Prototipagem]],""))</f>
        <v xml:space="preserve"> </v>
      </c>
      <c r="AQ91" s="21"/>
      <c r="AR91" s="21"/>
    </row>
    <row r="92" spans="1:44" x14ac:dyDescent="0.35">
      <c r="A92" s="21"/>
      <c r="B92" s="23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2"/>
      <c r="O92" s="22"/>
      <c r="P92" s="22"/>
      <c r="Q92" s="22"/>
      <c r="R92" s="22"/>
      <c r="S92" s="22"/>
      <c r="T92" s="39"/>
      <c r="U92" s="21"/>
      <c r="V92" s="21"/>
      <c r="W92" s="50">
        <f>((Tabela2[[#This Row],[Horas economizadas anuais]] / 12) / 4)</f>
        <v>0</v>
      </c>
      <c r="X92" s="37">
        <f>(_xlfn.XLOOKUP(Tabela2[[#This Row],[setor]],dim_custo_setor_horas!A:A,dim_custo_setor_horas!B:B))*Tabela2[[#This Row],[Horas economizadas anuais]]</f>
        <v>0</v>
      </c>
      <c r="Y92" s="37">
        <f>IF(Tabela2[[#This Row],[progresso_pct]]=100,Tabela2[[#This Row],[Retorno Previsto $]],0)</f>
        <v>0</v>
      </c>
      <c r="Z92" s="37"/>
      <c r="AA92" s="37"/>
      <c r="AB92" s="37"/>
      <c r="AC92" s="37"/>
      <c r="AD92" s="47" t="str">
        <f>IF(Tabela2[[#This Row],[progresso_pct]] = 100,IFERROR((Tabela2[[#This Row],[Retorno Previsto $]]-Tabela2[[#This Row],[spent_capex]])/Tabela2[[#This Row],[spent_capex]]," ")," ")</f>
        <v xml:space="preserve"> </v>
      </c>
      <c r="AE92" s="21"/>
      <c r="AF92" s="21"/>
      <c r="AG92" s="21"/>
      <c r="AH92" s="21"/>
      <c r="AI92" s="21"/>
      <c r="AJ92" s="21"/>
      <c r="AK92" s="21"/>
      <c r="AL92" s="21"/>
      <c r="AM92" s="21">
        <f>IFERROR(Tabela2[[#This Row],[Data Fim PMO]]-Tabela2[[#This Row],[Data Pedido PMO]],"")</f>
        <v>0</v>
      </c>
      <c r="AN92" s="21"/>
      <c r="AO92" s="21"/>
      <c r="AP92" s="21" t="str">
        <f>IF(Tabela2[[#This Row],[Data Fim Prototipagem2]]=0," ",IFERROR(Tabela2[[#This Row],[Data Fim Prototipagem2]]-Tabela2[[#This Row],[Data Inicio Prototipagem]],""))</f>
        <v xml:space="preserve"> </v>
      </c>
      <c r="AQ92" s="21"/>
      <c r="AR92" s="21"/>
    </row>
    <row r="93" spans="1:44" x14ac:dyDescent="0.35">
      <c r="A93" s="21"/>
      <c r="B93" s="23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2"/>
      <c r="O93" s="22"/>
      <c r="P93" s="22"/>
      <c r="Q93" s="22"/>
      <c r="R93" s="22"/>
      <c r="S93" s="22"/>
      <c r="T93" s="39"/>
      <c r="U93" s="21"/>
      <c r="V93" s="21"/>
      <c r="W93" s="50">
        <f>((Tabela2[[#This Row],[Horas economizadas anuais]] / 12) / 4)</f>
        <v>0</v>
      </c>
      <c r="X93" s="37">
        <f>(_xlfn.XLOOKUP(Tabela2[[#This Row],[setor]],dim_custo_setor_horas!A:A,dim_custo_setor_horas!B:B))*Tabela2[[#This Row],[Horas economizadas anuais]]</f>
        <v>0</v>
      </c>
      <c r="Y93" s="37">
        <f>IF(Tabela2[[#This Row],[progresso_pct]]=100,Tabela2[[#This Row],[Retorno Previsto $]],0)</f>
        <v>0</v>
      </c>
      <c r="Z93" s="37"/>
      <c r="AA93" s="37"/>
      <c r="AB93" s="37"/>
      <c r="AC93" s="37"/>
      <c r="AD93" s="47" t="str">
        <f>IF(Tabela2[[#This Row],[progresso_pct]] = 100,IFERROR((Tabela2[[#This Row],[Retorno Previsto $]]-Tabela2[[#This Row],[spent_capex]])/Tabela2[[#This Row],[spent_capex]]," ")," ")</f>
        <v xml:space="preserve"> </v>
      </c>
      <c r="AE93" s="21"/>
      <c r="AF93" s="21"/>
      <c r="AG93" s="21"/>
      <c r="AH93" s="21"/>
      <c r="AI93" s="21"/>
      <c r="AJ93" s="21"/>
      <c r="AK93" s="21"/>
      <c r="AL93" s="21"/>
      <c r="AM93" s="21">
        <f>IFERROR(Tabela2[[#This Row],[Data Fim PMO]]-Tabela2[[#This Row],[Data Pedido PMO]],"")</f>
        <v>0</v>
      </c>
      <c r="AN93" s="21"/>
      <c r="AO93" s="21"/>
      <c r="AP93" s="21" t="str">
        <f>IF(Tabela2[[#This Row],[Data Fim Prototipagem2]]=0," ",IFERROR(Tabela2[[#This Row],[Data Fim Prototipagem2]]-Tabela2[[#This Row],[Data Inicio Prototipagem]],""))</f>
        <v xml:space="preserve"> </v>
      </c>
      <c r="AQ93" s="21"/>
      <c r="AR93" s="21"/>
    </row>
    <row r="94" spans="1:44" x14ac:dyDescent="0.35">
      <c r="A94" s="21"/>
      <c r="B94" s="23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2"/>
      <c r="O94" s="22"/>
      <c r="P94" s="22"/>
      <c r="Q94" s="22"/>
      <c r="R94" s="22"/>
      <c r="S94" s="22"/>
      <c r="T94" s="39"/>
      <c r="U94" s="21"/>
      <c r="V94" s="21"/>
      <c r="W94" s="50">
        <f>((Tabela2[[#This Row],[Horas economizadas anuais]] / 12) / 4)</f>
        <v>0</v>
      </c>
      <c r="X94" s="37">
        <f>(_xlfn.XLOOKUP(Tabela2[[#This Row],[setor]],dim_custo_setor_horas!A:A,dim_custo_setor_horas!B:B))*Tabela2[[#This Row],[Horas economizadas anuais]]</f>
        <v>0</v>
      </c>
      <c r="Y94" s="37">
        <f>IF(Tabela2[[#This Row],[progresso_pct]]=100,Tabela2[[#This Row],[Retorno Previsto $]],0)</f>
        <v>0</v>
      </c>
      <c r="Z94" s="37"/>
      <c r="AA94" s="37"/>
      <c r="AB94" s="37"/>
      <c r="AC94" s="37"/>
      <c r="AD94" s="47" t="str">
        <f>IF(Tabela2[[#This Row],[progresso_pct]] = 100,IFERROR((Tabela2[[#This Row],[Retorno Previsto $]]-Tabela2[[#This Row],[spent_capex]])/Tabela2[[#This Row],[spent_capex]]," ")," ")</f>
        <v xml:space="preserve"> </v>
      </c>
      <c r="AE94" s="21"/>
      <c r="AF94" s="21"/>
      <c r="AG94" s="21"/>
      <c r="AH94" s="21"/>
      <c r="AI94" s="21"/>
      <c r="AJ94" s="21"/>
      <c r="AK94" s="21"/>
      <c r="AL94" s="21"/>
      <c r="AM94" s="21">
        <f>IFERROR(Tabela2[[#This Row],[Data Fim PMO]]-Tabela2[[#This Row],[Data Pedido PMO]],"")</f>
        <v>0</v>
      </c>
      <c r="AN94" s="21"/>
      <c r="AO94" s="21"/>
      <c r="AP94" s="21" t="str">
        <f>IF(Tabela2[[#This Row],[Data Fim Prototipagem2]]=0," ",IFERROR(Tabela2[[#This Row],[Data Fim Prototipagem2]]-Tabela2[[#This Row],[Data Inicio Prototipagem]],""))</f>
        <v xml:space="preserve"> </v>
      </c>
      <c r="AQ94" s="21"/>
      <c r="AR94" s="21"/>
    </row>
    <row r="95" spans="1:44" x14ac:dyDescent="0.35">
      <c r="A95" s="21"/>
      <c r="B95" s="23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2"/>
      <c r="O95" s="22"/>
      <c r="P95" s="22"/>
      <c r="Q95" s="22"/>
      <c r="R95" s="22"/>
      <c r="S95" s="22"/>
      <c r="T95" s="39"/>
      <c r="U95" s="21"/>
      <c r="V95" s="21"/>
      <c r="W95" s="50">
        <f>((Tabela2[[#This Row],[Horas economizadas anuais]] / 12) / 4)</f>
        <v>0</v>
      </c>
      <c r="X95" s="37">
        <f>(_xlfn.XLOOKUP(Tabela2[[#This Row],[setor]],dim_custo_setor_horas!A:A,dim_custo_setor_horas!B:B))*Tabela2[[#This Row],[Horas economizadas anuais]]</f>
        <v>0</v>
      </c>
      <c r="Y95" s="37">
        <f>IF(Tabela2[[#This Row],[progresso_pct]]=100,Tabela2[[#This Row],[Retorno Previsto $]],0)</f>
        <v>0</v>
      </c>
      <c r="Z95" s="37"/>
      <c r="AA95" s="37"/>
      <c r="AB95" s="37"/>
      <c r="AC95" s="37"/>
      <c r="AD95" s="47" t="str">
        <f>IF(Tabela2[[#This Row],[progresso_pct]] = 100,IFERROR((Tabela2[[#This Row],[Retorno Previsto $]]-Tabela2[[#This Row],[spent_capex]])/Tabela2[[#This Row],[spent_capex]]," ")," ")</f>
        <v xml:space="preserve"> </v>
      </c>
      <c r="AE95" s="21"/>
      <c r="AF95" s="21"/>
      <c r="AG95" s="21"/>
      <c r="AH95" s="21"/>
      <c r="AI95" s="21"/>
      <c r="AJ95" s="21"/>
      <c r="AK95" s="21"/>
      <c r="AL95" s="21"/>
      <c r="AM95" s="21">
        <f>IFERROR(Tabela2[[#This Row],[Data Fim PMO]]-Tabela2[[#This Row],[Data Pedido PMO]],"")</f>
        <v>0</v>
      </c>
      <c r="AN95" s="21"/>
      <c r="AO95" s="21"/>
      <c r="AP95" s="21" t="str">
        <f>IF(Tabela2[[#This Row],[Data Fim Prototipagem2]]=0," ",IFERROR(Tabela2[[#This Row],[Data Fim Prototipagem2]]-Tabela2[[#This Row],[Data Inicio Prototipagem]],""))</f>
        <v xml:space="preserve"> </v>
      </c>
      <c r="AQ95" s="21"/>
      <c r="AR95" s="21"/>
    </row>
    <row r="96" spans="1:44" x14ac:dyDescent="0.35">
      <c r="A96" s="21"/>
      <c r="B96" s="23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2"/>
      <c r="O96" s="22"/>
      <c r="P96" s="22"/>
      <c r="Q96" s="22"/>
      <c r="R96" s="22"/>
      <c r="S96" s="22"/>
      <c r="T96" s="39"/>
      <c r="U96" s="21"/>
      <c r="V96" s="21"/>
      <c r="W96" s="50">
        <f>((Tabela2[[#This Row],[Horas economizadas anuais]] / 12) / 4)</f>
        <v>0</v>
      </c>
      <c r="X96" s="37">
        <f>(_xlfn.XLOOKUP(Tabela2[[#This Row],[setor]],dim_custo_setor_horas!A:A,dim_custo_setor_horas!B:B))*Tabela2[[#This Row],[Horas economizadas anuais]]</f>
        <v>0</v>
      </c>
      <c r="Y96" s="37">
        <f>IF(Tabela2[[#This Row],[progresso_pct]]=100,Tabela2[[#This Row],[Retorno Previsto $]],0)</f>
        <v>0</v>
      </c>
      <c r="Z96" s="37"/>
      <c r="AA96" s="37"/>
      <c r="AB96" s="37"/>
      <c r="AC96" s="37"/>
      <c r="AD96" s="47" t="str">
        <f>IF(Tabela2[[#This Row],[progresso_pct]] = 100,IFERROR((Tabela2[[#This Row],[Retorno Previsto $]]-Tabela2[[#This Row],[spent_capex]])/Tabela2[[#This Row],[spent_capex]]," ")," ")</f>
        <v xml:space="preserve"> </v>
      </c>
      <c r="AE96" s="21"/>
      <c r="AF96" s="21"/>
      <c r="AG96" s="21"/>
      <c r="AH96" s="21"/>
      <c r="AI96" s="21"/>
      <c r="AJ96" s="21"/>
      <c r="AK96" s="21"/>
      <c r="AL96" s="21"/>
      <c r="AM96" s="21">
        <f>IFERROR(Tabela2[[#This Row],[Data Fim PMO]]-Tabela2[[#This Row],[Data Pedido PMO]],"")</f>
        <v>0</v>
      </c>
      <c r="AN96" s="21"/>
      <c r="AO96" s="21"/>
      <c r="AP96" s="21" t="str">
        <f>IF(Tabela2[[#This Row],[Data Fim Prototipagem2]]=0," ",IFERROR(Tabela2[[#This Row],[Data Fim Prototipagem2]]-Tabela2[[#This Row],[Data Inicio Prototipagem]],""))</f>
        <v xml:space="preserve"> </v>
      </c>
      <c r="AQ96" s="21"/>
      <c r="AR96" s="21"/>
    </row>
    <row r="97" spans="1:44" x14ac:dyDescent="0.35">
      <c r="A97" s="21"/>
      <c r="B97" s="23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2"/>
      <c r="O97" s="22"/>
      <c r="P97" s="22"/>
      <c r="Q97" s="22"/>
      <c r="R97" s="22"/>
      <c r="S97" s="22"/>
      <c r="T97" s="39"/>
      <c r="U97" s="21"/>
      <c r="V97" s="21"/>
      <c r="W97" s="50">
        <f>((Tabela2[[#This Row],[Horas economizadas anuais]] / 12) / 4)</f>
        <v>0</v>
      </c>
      <c r="X97" s="37">
        <f>(_xlfn.XLOOKUP(Tabela2[[#This Row],[setor]],dim_custo_setor_horas!A:A,dim_custo_setor_horas!B:B))*Tabela2[[#This Row],[Horas economizadas anuais]]</f>
        <v>0</v>
      </c>
      <c r="Y97" s="37">
        <f>IF(Tabela2[[#This Row],[progresso_pct]]=100,Tabela2[[#This Row],[Retorno Previsto $]],0)</f>
        <v>0</v>
      </c>
      <c r="Z97" s="37"/>
      <c r="AA97" s="37"/>
      <c r="AB97" s="37"/>
      <c r="AC97" s="37"/>
      <c r="AD97" s="47" t="str">
        <f>IF(Tabela2[[#This Row],[progresso_pct]] = 100,IFERROR((Tabela2[[#This Row],[Retorno Previsto $]]-Tabela2[[#This Row],[spent_capex]])/Tabela2[[#This Row],[spent_capex]]," ")," ")</f>
        <v xml:space="preserve"> </v>
      </c>
      <c r="AE97" s="21"/>
      <c r="AF97" s="21"/>
      <c r="AG97" s="21"/>
      <c r="AH97" s="21"/>
      <c r="AI97" s="21"/>
      <c r="AJ97" s="21"/>
      <c r="AK97" s="21"/>
      <c r="AL97" s="21"/>
      <c r="AM97" s="21">
        <f>IFERROR(Tabela2[[#This Row],[Data Fim PMO]]-Tabela2[[#This Row],[Data Pedido PMO]],"")</f>
        <v>0</v>
      </c>
      <c r="AN97" s="21"/>
      <c r="AO97" s="21"/>
      <c r="AP97" s="21" t="str">
        <f>IF(Tabela2[[#This Row],[Data Fim Prototipagem2]]=0," ",IFERROR(Tabela2[[#This Row],[Data Fim Prototipagem2]]-Tabela2[[#This Row],[Data Inicio Prototipagem]],""))</f>
        <v xml:space="preserve"> </v>
      </c>
      <c r="AQ97" s="21"/>
      <c r="AR97" s="21"/>
    </row>
    <row r="98" spans="1:44" x14ac:dyDescent="0.35">
      <c r="A98" s="21"/>
      <c r="B98" s="23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2"/>
      <c r="O98" s="22"/>
      <c r="P98" s="22"/>
      <c r="Q98" s="22"/>
      <c r="R98" s="22"/>
      <c r="S98" s="22"/>
      <c r="T98" s="39"/>
      <c r="U98" s="21"/>
      <c r="V98" s="21"/>
      <c r="W98" s="50">
        <f>((Tabela2[[#This Row],[Horas economizadas anuais]] / 12) / 4)</f>
        <v>0</v>
      </c>
      <c r="X98" s="37">
        <f>(_xlfn.XLOOKUP(Tabela2[[#This Row],[setor]],dim_custo_setor_horas!A:A,dim_custo_setor_horas!B:B))*Tabela2[[#This Row],[Horas economizadas anuais]]</f>
        <v>0</v>
      </c>
      <c r="Y98" s="37">
        <f>IF(Tabela2[[#This Row],[progresso_pct]]=100,Tabela2[[#This Row],[Retorno Previsto $]],0)</f>
        <v>0</v>
      </c>
      <c r="Z98" s="37"/>
      <c r="AA98" s="37"/>
      <c r="AB98" s="37"/>
      <c r="AC98" s="37"/>
      <c r="AD98" s="47" t="str">
        <f>IF(Tabela2[[#This Row],[progresso_pct]] = 100,IFERROR((Tabela2[[#This Row],[Retorno Previsto $]]-Tabela2[[#This Row],[spent_capex]])/Tabela2[[#This Row],[spent_capex]]," ")," ")</f>
        <v xml:space="preserve"> </v>
      </c>
      <c r="AE98" s="21"/>
      <c r="AF98" s="21"/>
      <c r="AG98" s="21"/>
      <c r="AH98" s="21"/>
      <c r="AI98" s="21"/>
      <c r="AJ98" s="21"/>
      <c r="AK98" s="21"/>
      <c r="AL98" s="21"/>
      <c r="AM98" s="21">
        <f>IFERROR(Tabela2[[#This Row],[Data Fim PMO]]-Tabela2[[#This Row],[Data Pedido PMO]],"")</f>
        <v>0</v>
      </c>
      <c r="AN98" s="21"/>
      <c r="AO98" s="21"/>
      <c r="AP98" s="21" t="str">
        <f>IF(Tabela2[[#This Row],[Data Fim Prototipagem2]]=0," ",IFERROR(Tabela2[[#This Row],[Data Fim Prototipagem2]]-Tabela2[[#This Row],[Data Inicio Prototipagem]],""))</f>
        <v xml:space="preserve"> </v>
      </c>
      <c r="AQ98" s="21"/>
      <c r="AR98" s="21"/>
    </row>
    <row r="99" spans="1:44" x14ac:dyDescent="0.35">
      <c r="A99" s="21"/>
      <c r="B99" s="23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2"/>
      <c r="O99" s="22"/>
      <c r="P99" s="22"/>
      <c r="Q99" s="22"/>
      <c r="R99" s="22"/>
      <c r="S99" s="22"/>
      <c r="T99" s="39"/>
      <c r="U99" s="21"/>
      <c r="V99" s="21"/>
      <c r="W99" s="50">
        <f>((Tabela2[[#This Row],[Horas economizadas anuais]] / 12) / 4)</f>
        <v>0</v>
      </c>
      <c r="X99" s="37">
        <f>(_xlfn.XLOOKUP(Tabela2[[#This Row],[setor]],dim_custo_setor_horas!A:A,dim_custo_setor_horas!B:B))*Tabela2[[#This Row],[Horas economizadas anuais]]</f>
        <v>0</v>
      </c>
      <c r="Y99" s="37">
        <f>IF(Tabela2[[#This Row],[progresso_pct]]=100,Tabela2[[#This Row],[Retorno Previsto $]],0)</f>
        <v>0</v>
      </c>
      <c r="Z99" s="37"/>
      <c r="AA99" s="37"/>
      <c r="AB99" s="37"/>
      <c r="AC99" s="37"/>
      <c r="AD99" s="47" t="str">
        <f>IF(Tabela2[[#This Row],[progresso_pct]] = 100,IFERROR((Tabela2[[#This Row],[Retorno Previsto $]]-Tabela2[[#This Row],[spent_capex]])/Tabela2[[#This Row],[spent_capex]]," ")," ")</f>
        <v xml:space="preserve"> </v>
      </c>
      <c r="AE99" s="21"/>
      <c r="AF99" s="21"/>
      <c r="AG99" s="21"/>
      <c r="AH99" s="21"/>
      <c r="AI99" s="21"/>
      <c r="AJ99" s="21"/>
      <c r="AK99" s="21"/>
      <c r="AL99" s="21"/>
      <c r="AM99" s="21">
        <f>IFERROR(Tabela2[[#This Row],[Data Fim PMO]]-Tabela2[[#This Row],[Data Pedido PMO]],"")</f>
        <v>0</v>
      </c>
      <c r="AN99" s="21"/>
      <c r="AO99" s="21"/>
      <c r="AP99" s="21" t="str">
        <f>IF(Tabela2[[#This Row],[Data Fim Prototipagem2]]=0," ",IFERROR(Tabela2[[#This Row],[Data Fim Prototipagem2]]-Tabela2[[#This Row],[Data Inicio Prototipagem]],""))</f>
        <v xml:space="preserve"> </v>
      </c>
      <c r="AQ99" s="21"/>
      <c r="AR99" s="21"/>
    </row>
    <row r="100" spans="1:44" x14ac:dyDescent="0.35">
      <c r="A100" s="21"/>
      <c r="B100" s="23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2"/>
      <c r="O100" s="22"/>
      <c r="P100" s="22"/>
      <c r="Q100" s="22"/>
      <c r="R100" s="22"/>
      <c r="S100" s="22"/>
      <c r="T100" s="39"/>
      <c r="U100" s="21"/>
      <c r="V100" s="21"/>
      <c r="W100" s="50">
        <f>((Tabela2[[#This Row],[Horas economizadas anuais]] / 12) / 4)</f>
        <v>0</v>
      </c>
      <c r="X100" s="37">
        <f>(_xlfn.XLOOKUP(Tabela2[[#This Row],[setor]],dim_custo_setor_horas!A:A,dim_custo_setor_horas!B:B))*Tabela2[[#This Row],[Horas economizadas anuais]]</f>
        <v>0</v>
      </c>
      <c r="Y100" s="37">
        <f>IF(Tabela2[[#This Row],[progresso_pct]]=100,Tabela2[[#This Row],[Retorno Previsto $]],0)</f>
        <v>0</v>
      </c>
      <c r="Z100" s="37"/>
      <c r="AA100" s="37"/>
      <c r="AB100" s="37"/>
      <c r="AC100" s="37"/>
      <c r="AD100" s="47" t="str">
        <f>IF(Tabela2[[#This Row],[progresso_pct]] = 100,IFERROR((Tabela2[[#This Row],[Retorno Previsto $]]-Tabela2[[#This Row],[spent_capex]])/Tabela2[[#This Row],[spent_capex]]," ")," ")</f>
        <v xml:space="preserve"> </v>
      </c>
      <c r="AE100" s="21"/>
      <c r="AF100" s="21"/>
      <c r="AG100" s="21"/>
      <c r="AH100" s="21"/>
      <c r="AI100" s="21"/>
      <c r="AJ100" s="21"/>
      <c r="AK100" s="21"/>
      <c r="AL100" s="21"/>
      <c r="AM100" s="21">
        <f>IFERROR(Tabela2[[#This Row],[Data Fim PMO]]-Tabela2[[#This Row],[Data Pedido PMO]],"")</f>
        <v>0</v>
      </c>
      <c r="AN100" s="21"/>
      <c r="AO100" s="21"/>
      <c r="AP100" s="21" t="str">
        <f>IF(Tabela2[[#This Row],[Data Fim Prototipagem2]]=0," ",IFERROR(Tabela2[[#This Row],[Data Fim Prototipagem2]]-Tabela2[[#This Row],[Data Inicio Prototipagem]],""))</f>
        <v xml:space="preserve"> </v>
      </c>
      <c r="AQ100" s="21"/>
      <c r="AR100" s="21"/>
    </row>
    <row r="101" spans="1:44" x14ac:dyDescent="0.35">
      <c r="A101" s="21"/>
      <c r="B101" s="23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2"/>
      <c r="O101" s="22"/>
      <c r="P101" s="22"/>
      <c r="Q101" s="22"/>
      <c r="R101" s="22"/>
      <c r="S101" s="22"/>
      <c r="T101" s="39"/>
      <c r="U101" s="21"/>
      <c r="V101" s="21"/>
      <c r="W101" s="50">
        <f>((Tabela2[[#This Row],[Horas economizadas anuais]] / 12) / 4)</f>
        <v>0</v>
      </c>
      <c r="X101" s="37">
        <f>(_xlfn.XLOOKUP(Tabela2[[#This Row],[setor]],dim_custo_setor_horas!A:A,dim_custo_setor_horas!B:B))*Tabela2[[#This Row],[Horas economizadas anuais]]</f>
        <v>0</v>
      </c>
      <c r="Y101" s="37">
        <f>IF(Tabela2[[#This Row],[progresso_pct]]=100,Tabela2[[#This Row],[Retorno Previsto $]],0)</f>
        <v>0</v>
      </c>
      <c r="Z101" s="37"/>
      <c r="AA101" s="37"/>
      <c r="AB101" s="37"/>
      <c r="AC101" s="37"/>
      <c r="AD101" s="47" t="str">
        <f>IF(Tabela2[[#This Row],[progresso_pct]] = 100,IFERROR((Tabela2[[#This Row],[Retorno Previsto $]]-Tabela2[[#This Row],[spent_capex]])/Tabela2[[#This Row],[spent_capex]]," ")," ")</f>
        <v xml:space="preserve"> </v>
      </c>
      <c r="AE101" s="21"/>
      <c r="AF101" s="21"/>
      <c r="AG101" s="21"/>
      <c r="AH101" s="21"/>
      <c r="AI101" s="21"/>
      <c r="AJ101" s="21"/>
      <c r="AK101" s="21"/>
      <c r="AL101" s="21"/>
      <c r="AM101" s="21">
        <f>IFERROR(Tabela2[[#This Row],[Data Fim PMO]]-Tabela2[[#This Row],[Data Pedido PMO]],"")</f>
        <v>0</v>
      </c>
      <c r="AN101" s="21"/>
      <c r="AO101" s="21"/>
      <c r="AP101" s="21" t="str">
        <f>IF(Tabela2[[#This Row],[Data Fim Prototipagem2]]=0," ",IFERROR(Tabela2[[#This Row],[Data Fim Prototipagem2]]-Tabela2[[#This Row],[Data Inicio Prototipagem]],""))</f>
        <v xml:space="preserve"> </v>
      </c>
      <c r="AQ101" s="21"/>
      <c r="AR101" s="21"/>
    </row>
    <row r="102" spans="1:44" x14ac:dyDescent="0.3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2"/>
      <c r="O102" s="22"/>
      <c r="P102" s="22"/>
      <c r="Q102" s="22"/>
      <c r="R102" s="22"/>
      <c r="S102" s="22"/>
      <c r="T102" s="39"/>
      <c r="U102" s="21"/>
      <c r="V102" s="21"/>
      <c r="W102" s="50">
        <f>((Tabela2[[#This Row],[Horas economizadas anuais]] / 12) / 4)</f>
        <v>0</v>
      </c>
      <c r="X102" s="21">
        <f>(_xlfn.XLOOKUP(Tabela2[[#This Row],[setor]],dim_custo_setor_horas!A:A,dim_custo_setor_horas!B:B))*Tabela2[[#This Row],[Horas economizadas anuais]]</f>
        <v>0</v>
      </c>
      <c r="Y102" s="21">
        <f>IF(Tabela2[[#This Row],[progresso_pct]]=100,Tabela2[[#This Row],[Retorno Previsto $]],0)</f>
        <v>0</v>
      </c>
      <c r="Z102" s="21"/>
      <c r="AA102" s="21"/>
      <c r="AB102" s="21"/>
      <c r="AC102" s="21"/>
      <c r="AD102" s="47" t="str">
        <f>IF(Tabela2[[#This Row],[progresso_pct]] = 100,IFERROR((Tabela2[[#This Row],[Retorno Previsto $]]-Tabela2[[#This Row],[spent_capex]])/Tabela2[[#This Row],[spent_capex]]," ")," ")</f>
        <v xml:space="preserve"> </v>
      </c>
      <c r="AE102" s="21"/>
      <c r="AF102" s="21"/>
      <c r="AG102" s="21"/>
      <c r="AH102" s="21"/>
      <c r="AI102" s="21"/>
      <c r="AJ102" s="21"/>
      <c r="AK102" s="21"/>
      <c r="AL102" s="21"/>
      <c r="AM102" s="21">
        <f>IFERROR(Tabela2[[#This Row],[Data Fim PMO]]-Tabela2[[#This Row],[Data Pedido PMO]],"")</f>
        <v>0</v>
      </c>
      <c r="AN102" s="21"/>
      <c r="AO102" s="21"/>
      <c r="AP102" s="21" t="str">
        <f>IF(Tabela2[[#This Row],[Data Fim Prototipagem2]]=0," ",IFERROR(Tabela2[[#This Row],[Data Fim Prototipagem2]]-Tabela2[[#This Row],[Data Inicio Prototipagem]],""))</f>
        <v xml:space="preserve"> </v>
      </c>
      <c r="AQ102" s="21"/>
      <c r="AR102" s="21"/>
    </row>
    <row r="103" spans="1:44" x14ac:dyDescent="0.3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2"/>
      <c r="O103" s="22"/>
      <c r="P103" s="22"/>
      <c r="Q103" s="22"/>
      <c r="R103" s="22"/>
      <c r="S103" s="22"/>
      <c r="T103" s="39"/>
      <c r="U103" s="21"/>
      <c r="V103" s="21"/>
      <c r="W103" s="50">
        <f>((Tabela2[[#This Row],[Horas economizadas anuais]] / 12) / 4)</f>
        <v>0</v>
      </c>
      <c r="X103" s="21">
        <f>(_xlfn.XLOOKUP(Tabela2[[#This Row],[setor]],dim_custo_setor_horas!A:A,dim_custo_setor_horas!B:B))*Tabela2[[#This Row],[Horas economizadas anuais]]</f>
        <v>0</v>
      </c>
      <c r="Y103" s="21">
        <f>IF(Tabela2[[#This Row],[progresso_pct]]=100,Tabela2[[#This Row],[Retorno Previsto $]],0)</f>
        <v>0</v>
      </c>
      <c r="Z103" s="21"/>
      <c r="AA103" s="21"/>
      <c r="AB103" s="21"/>
      <c r="AC103" s="21"/>
      <c r="AD103" s="47" t="str">
        <f>IF(Tabela2[[#This Row],[progresso_pct]] = 100,IFERROR((Tabela2[[#This Row],[Retorno Previsto $]]-Tabela2[[#This Row],[spent_capex]])/Tabela2[[#This Row],[spent_capex]]," ")," ")</f>
        <v xml:space="preserve"> </v>
      </c>
      <c r="AE103" s="21"/>
      <c r="AF103" s="21"/>
      <c r="AG103" s="21"/>
      <c r="AH103" s="21"/>
      <c r="AI103" s="21"/>
      <c r="AJ103" s="21"/>
      <c r="AK103" s="21"/>
      <c r="AL103" s="21"/>
      <c r="AM103" s="21">
        <f>IFERROR(Tabela2[[#This Row],[Data Fim PMO]]-Tabela2[[#This Row],[Data Pedido PMO]],"")</f>
        <v>0</v>
      </c>
      <c r="AN103" s="21"/>
      <c r="AO103" s="21"/>
      <c r="AP103" s="21" t="str">
        <f>IF(Tabela2[[#This Row],[Data Fim Prototipagem2]]=0," ",IFERROR(Tabela2[[#This Row],[Data Fim Prototipagem2]]-Tabela2[[#This Row],[Data Inicio Prototipagem]],""))</f>
        <v xml:space="preserve"> </v>
      </c>
      <c r="AQ103" s="21"/>
      <c r="AR103" s="21"/>
    </row>
    <row r="104" spans="1:44" x14ac:dyDescent="0.3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2"/>
      <c r="O104" s="22"/>
      <c r="P104" s="22"/>
      <c r="Q104" s="22"/>
      <c r="R104" s="22"/>
      <c r="S104" s="22"/>
      <c r="T104" s="39"/>
      <c r="U104" s="21"/>
      <c r="V104" s="21"/>
      <c r="W104" s="50">
        <f>((Tabela2[[#This Row],[Horas economizadas anuais]] / 12) / 4)</f>
        <v>0</v>
      </c>
      <c r="X104" s="21">
        <f>(_xlfn.XLOOKUP(Tabela2[[#This Row],[setor]],dim_custo_setor_horas!A:A,dim_custo_setor_horas!B:B))*Tabela2[[#This Row],[Horas economizadas anuais]]</f>
        <v>0</v>
      </c>
      <c r="Y104" s="21">
        <f>IF(Tabela2[[#This Row],[progresso_pct]]=100,Tabela2[[#This Row],[Retorno Previsto $]],0)</f>
        <v>0</v>
      </c>
      <c r="Z104" s="21"/>
      <c r="AA104" s="21"/>
      <c r="AB104" s="21"/>
      <c r="AC104" s="21"/>
      <c r="AD104" s="47" t="str">
        <f>IF(Tabela2[[#This Row],[progresso_pct]] = 100,IFERROR((Tabela2[[#This Row],[Retorno Previsto $]]-Tabela2[[#This Row],[spent_capex]])/Tabela2[[#This Row],[spent_capex]]," ")," ")</f>
        <v xml:space="preserve"> </v>
      </c>
      <c r="AE104" s="21"/>
      <c r="AF104" s="21"/>
      <c r="AG104" s="21"/>
      <c r="AH104" s="21"/>
      <c r="AI104" s="21"/>
      <c r="AJ104" s="21"/>
      <c r="AK104" s="21"/>
      <c r="AL104" s="21"/>
      <c r="AM104" s="21">
        <f>IFERROR(Tabela2[[#This Row],[Data Fim PMO]]-Tabela2[[#This Row],[Data Pedido PMO]],"")</f>
        <v>0</v>
      </c>
      <c r="AN104" s="21"/>
      <c r="AO104" s="21"/>
      <c r="AP104" s="21" t="str">
        <f>IF(Tabela2[[#This Row],[Data Fim Prototipagem2]]=0," ",IFERROR(Tabela2[[#This Row],[Data Fim Prototipagem2]]-Tabela2[[#This Row],[Data Inicio Prototipagem]],""))</f>
        <v xml:space="preserve"> </v>
      </c>
      <c r="AQ104" s="21"/>
      <c r="AR104" s="21"/>
    </row>
    <row r="105" spans="1:44" x14ac:dyDescent="0.3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2"/>
      <c r="O105" s="22"/>
      <c r="P105" s="22"/>
      <c r="Q105" s="22"/>
      <c r="R105" s="22"/>
      <c r="S105" s="22"/>
      <c r="T105" s="39"/>
      <c r="U105" s="21"/>
      <c r="V105" s="21"/>
      <c r="W105" s="50">
        <f>((Tabela2[[#This Row],[Horas economizadas anuais]] / 12) / 4)</f>
        <v>0</v>
      </c>
      <c r="X105" s="21">
        <f>(_xlfn.XLOOKUP(Tabela2[[#This Row],[setor]],dim_custo_setor_horas!A:A,dim_custo_setor_horas!B:B))*Tabela2[[#This Row],[Horas economizadas anuais]]</f>
        <v>0</v>
      </c>
      <c r="Y105" s="21">
        <f>IF(Tabela2[[#This Row],[progresso_pct]]=100,Tabela2[[#This Row],[Retorno Previsto $]],0)</f>
        <v>0</v>
      </c>
      <c r="Z105" s="21"/>
      <c r="AA105" s="21"/>
      <c r="AB105" s="21"/>
      <c r="AC105" s="21"/>
      <c r="AD105" s="47" t="str">
        <f>IF(Tabela2[[#This Row],[progresso_pct]] = 100,IFERROR((Tabela2[[#This Row],[Retorno Previsto $]]-Tabela2[[#This Row],[spent_capex]])/Tabela2[[#This Row],[spent_capex]]," ")," ")</f>
        <v xml:space="preserve"> </v>
      </c>
      <c r="AE105" s="21"/>
      <c r="AF105" s="21"/>
      <c r="AG105" s="21"/>
      <c r="AH105" s="21"/>
      <c r="AI105" s="21"/>
      <c r="AJ105" s="21"/>
      <c r="AK105" s="21"/>
      <c r="AL105" s="21"/>
      <c r="AM105" s="21">
        <f>IFERROR(Tabela2[[#This Row],[Data Fim PMO]]-Tabela2[[#This Row],[Data Pedido PMO]],"")</f>
        <v>0</v>
      </c>
      <c r="AN105" s="21"/>
      <c r="AO105" s="21"/>
      <c r="AP105" s="21" t="str">
        <f>IF(Tabela2[[#This Row],[Data Fim Prototipagem2]]=0," ",IFERROR(Tabela2[[#This Row],[Data Fim Prototipagem2]]-Tabela2[[#This Row],[Data Inicio Prototipagem]],""))</f>
        <v xml:space="preserve"> </v>
      </c>
      <c r="AQ105" s="21"/>
      <c r="AR105" s="21"/>
    </row>
    <row r="106" spans="1:44" x14ac:dyDescent="0.3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2"/>
      <c r="O106" s="22"/>
      <c r="P106" s="22"/>
      <c r="Q106" s="22"/>
      <c r="R106" s="22"/>
      <c r="S106" s="22"/>
      <c r="T106" s="39"/>
      <c r="U106" s="21"/>
      <c r="V106" s="21"/>
      <c r="W106" s="50">
        <f>((Tabela2[[#This Row],[Horas economizadas anuais]] / 12) / 4)</f>
        <v>0</v>
      </c>
      <c r="X106" s="21">
        <f>(_xlfn.XLOOKUP(Tabela2[[#This Row],[setor]],dim_custo_setor_horas!A:A,dim_custo_setor_horas!B:B))*Tabela2[[#This Row],[Horas economizadas anuais]]</f>
        <v>0</v>
      </c>
      <c r="Y106" s="21">
        <f>IF(Tabela2[[#This Row],[progresso_pct]]=100,Tabela2[[#This Row],[Retorno Previsto $]],0)</f>
        <v>0</v>
      </c>
      <c r="Z106" s="21"/>
      <c r="AA106" s="21"/>
      <c r="AB106" s="21"/>
      <c r="AC106" s="21"/>
      <c r="AD106" s="47" t="str">
        <f>IF(Tabela2[[#This Row],[progresso_pct]] = 100,IFERROR((Tabela2[[#This Row],[Retorno Previsto $]]-Tabela2[[#This Row],[spent_capex]])/Tabela2[[#This Row],[spent_capex]]," ")," ")</f>
        <v xml:space="preserve"> </v>
      </c>
      <c r="AE106" s="21"/>
      <c r="AF106" s="21"/>
      <c r="AG106" s="21"/>
      <c r="AH106" s="21"/>
      <c r="AI106" s="21"/>
      <c r="AJ106" s="21"/>
      <c r="AK106" s="21"/>
      <c r="AL106" s="21"/>
      <c r="AM106" s="21">
        <f>IFERROR(Tabela2[[#This Row],[Data Fim PMO]]-Tabela2[[#This Row],[Data Pedido PMO]],"")</f>
        <v>0</v>
      </c>
      <c r="AN106" s="21"/>
      <c r="AO106" s="21"/>
      <c r="AP106" s="21" t="str">
        <f>IF(Tabela2[[#This Row],[Data Fim Prototipagem2]]=0," ",IFERROR(Tabela2[[#This Row],[Data Fim Prototipagem2]]-Tabela2[[#This Row],[Data Inicio Prototipagem]],""))</f>
        <v xml:space="preserve"> </v>
      </c>
      <c r="AQ106" s="21"/>
      <c r="AR106" s="21"/>
    </row>
    <row r="107" spans="1:44" x14ac:dyDescent="0.3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2"/>
      <c r="O107" s="22"/>
      <c r="P107" s="22"/>
      <c r="Q107" s="22"/>
      <c r="R107" s="22"/>
      <c r="S107" s="22"/>
      <c r="T107" s="39"/>
      <c r="U107" s="21"/>
      <c r="V107" s="21"/>
      <c r="W107" s="50">
        <f>((Tabela2[[#This Row],[Horas economizadas anuais]] / 12) / 4)</f>
        <v>0</v>
      </c>
      <c r="X107" s="21">
        <f>(_xlfn.XLOOKUP(Tabela2[[#This Row],[setor]],dim_custo_setor_horas!A:A,dim_custo_setor_horas!B:B))*Tabela2[[#This Row],[Horas economizadas anuais]]</f>
        <v>0</v>
      </c>
      <c r="Y107" s="21">
        <f>IF(Tabela2[[#This Row],[progresso_pct]]=100,Tabela2[[#This Row],[Retorno Previsto $]],0)</f>
        <v>0</v>
      </c>
      <c r="Z107" s="21"/>
      <c r="AA107" s="21"/>
      <c r="AB107" s="21"/>
      <c r="AC107" s="21"/>
      <c r="AD107" s="47" t="str">
        <f>IF(Tabela2[[#This Row],[progresso_pct]] = 100,IFERROR((Tabela2[[#This Row],[Retorno Previsto $]]-Tabela2[[#This Row],[spent_capex]])/Tabela2[[#This Row],[spent_capex]]," ")," ")</f>
        <v xml:space="preserve"> </v>
      </c>
      <c r="AE107" s="21"/>
      <c r="AF107" s="21"/>
      <c r="AG107" s="21"/>
      <c r="AH107" s="21"/>
      <c r="AI107" s="21"/>
      <c r="AJ107" s="21"/>
      <c r="AK107" s="21"/>
      <c r="AL107" s="21"/>
      <c r="AM107" s="21">
        <f>IFERROR(Tabela2[[#This Row],[Data Fim PMO]]-Tabela2[[#This Row],[Data Pedido PMO]],"")</f>
        <v>0</v>
      </c>
      <c r="AN107" s="21"/>
      <c r="AO107" s="21"/>
      <c r="AP107" s="21" t="str">
        <f>IF(Tabela2[[#This Row],[Data Fim Prototipagem2]]=0," ",IFERROR(Tabela2[[#This Row],[Data Fim Prototipagem2]]-Tabela2[[#This Row],[Data Inicio Prototipagem]],""))</f>
        <v xml:space="preserve"> </v>
      </c>
      <c r="AQ107" s="21"/>
      <c r="AR107" s="21"/>
    </row>
    <row r="108" spans="1:44" x14ac:dyDescent="0.3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2"/>
      <c r="O108" s="22"/>
      <c r="P108" s="22"/>
      <c r="Q108" s="22"/>
      <c r="R108" s="22"/>
      <c r="S108" s="22"/>
      <c r="T108" s="39"/>
      <c r="U108" s="21"/>
      <c r="V108" s="21"/>
      <c r="W108" s="50">
        <f>((Tabela2[[#This Row],[Horas economizadas anuais]] / 12) / 4)</f>
        <v>0</v>
      </c>
      <c r="X108" s="21">
        <f>(_xlfn.XLOOKUP(Tabela2[[#This Row],[setor]],dim_custo_setor_horas!A:A,dim_custo_setor_horas!B:B))*Tabela2[[#This Row],[Horas economizadas anuais]]</f>
        <v>0</v>
      </c>
      <c r="Y108" s="21">
        <f>IF(Tabela2[[#This Row],[progresso_pct]]=100,Tabela2[[#This Row],[Retorno Previsto $]],0)</f>
        <v>0</v>
      </c>
      <c r="Z108" s="21"/>
      <c r="AA108" s="21"/>
      <c r="AB108" s="21"/>
      <c r="AC108" s="21"/>
      <c r="AD108" s="47" t="str">
        <f>IF(Tabela2[[#This Row],[progresso_pct]] = 100,IFERROR((Tabela2[[#This Row],[Retorno Previsto $]]-Tabela2[[#This Row],[spent_capex]])/Tabela2[[#This Row],[spent_capex]]," ")," ")</f>
        <v xml:space="preserve"> </v>
      </c>
      <c r="AE108" s="21"/>
      <c r="AF108" s="21"/>
      <c r="AG108" s="21"/>
      <c r="AH108" s="21"/>
      <c r="AI108" s="21"/>
      <c r="AJ108" s="21"/>
      <c r="AK108" s="21"/>
      <c r="AL108" s="21"/>
      <c r="AM108" s="21">
        <f>IFERROR(Tabela2[[#This Row],[Data Fim PMO]]-Tabela2[[#This Row],[Data Pedido PMO]],"")</f>
        <v>0</v>
      </c>
      <c r="AN108" s="21"/>
      <c r="AO108" s="21"/>
      <c r="AP108" s="21" t="str">
        <f>IF(Tabela2[[#This Row],[Data Fim Prototipagem2]]=0," ",IFERROR(Tabela2[[#This Row],[Data Fim Prototipagem2]]-Tabela2[[#This Row],[Data Inicio Prototipagem]],""))</f>
        <v xml:space="preserve"> </v>
      </c>
      <c r="AQ108" s="21"/>
      <c r="AR108" s="21"/>
    </row>
    <row r="109" spans="1:44" x14ac:dyDescent="0.3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2"/>
      <c r="O109" s="22"/>
      <c r="P109" s="22"/>
      <c r="Q109" s="22"/>
      <c r="R109" s="22"/>
      <c r="S109" s="22"/>
      <c r="T109" s="39"/>
      <c r="U109" s="21"/>
      <c r="V109" s="21"/>
      <c r="W109" s="50">
        <f>((Tabela2[[#This Row],[Horas economizadas anuais]] / 12) / 4)</f>
        <v>0</v>
      </c>
      <c r="X109" s="21">
        <f>(_xlfn.XLOOKUP(Tabela2[[#This Row],[setor]],dim_custo_setor_horas!A:A,dim_custo_setor_horas!B:B))*Tabela2[[#This Row],[Horas economizadas anuais]]</f>
        <v>0</v>
      </c>
      <c r="Y109" s="21">
        <f>IF(Tabela2[[#This Row],[progresso_pct]]=100,Tabela2[[#This Row],[Retorno Previsto $]],0)</f>
        <v>0</v>
      </c>
      <c r="Z109" s="21"/>
      <c r="AA109" s="21"/>
      <c r="AB109" s="21"/>
      <c r="AC109" s="21"/>
      <c r="AD109" s="47" t="str">
        <f>IF(Tabela2[[#This Row],[progresso_pct]] = 100,IFERROR((Tabela2[[#This Row],[Retorno Previsto $]]-Tabela2[[#This Row],[spent_capex]])/Tabela2[[#This Row],[spent_capex]]," ")," ")</f>
        <v xml:space="preserve"> </v>
      </c>
      <c r="AE109" s="21"/>
      <c r="AF109" s="21"/>
      <c r="AG109" s="21"/>
      <c r="AH109" s="21"/>
      <c r="AI109" s="21"/>
      <c r="AJ109" s="21"/>
      <c r="AK109" s="21"/>
      <c r="AL109" s="21"/>
      <c r="AM109" s="21">
        <f>IFERROR(Tabela2[[#This Row],[Data Fim PMO]]-Tabela2[[#This Row],[Data Pedido PMO]],"")</f>
        <v>0</v>
      </c>
      <c r="AN109" s="21"/>
      <c r="AO109" s="21"/>
      <c r="AP109" s="21" t="str">
        <f>IF(Tabela2[[#This Row],[Data Fim Prototipagem2]]=0," ",IFERROR(Tabela2[[#This Row],[Data Fim Prototipagem2]]-Tabela2[[#This Row],[Data Inicio Prototipagem]],""))</f>
        <v xml:space="preserve"> </v>
      </c>
      <c r="AQ109" s="21"/>
      <c r="AR109" s="21"/>
    </row>
    <row r="110" spans="1:44" x14ac:dyDescent="0.3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2"/>
      <c r="O110" s="22"/>
      <c r="P110" s="22"/>
      <c r="Q110" s="22"/>
      <c r="R110" s="22"/>
      <c r="S110" s="22"/>
      <c r="T110" s="39"/>
      <c r="U110" s="21"/>
      <c r="V110" s="21"/>
      <c r="W110" s="50">
        <f>((Tabela2[[#This Row],[Horas economizadas anuais]] / 12) / 4)</f>
        <v>0</v>
      </c>
      <c r="X110" s="21">
        <f>(_xlfn.XLOOKUP(Tabela2[[#This Row],[setor]],dim_custo_setor_horas!A:A,dim_custo_setor_horas!B:B))*Tabela2[[#This Row],[Horas economizadas anuais]]</f>
        <v>0</v>
      </c>
      <c r="Y110" s="21">
        <f>IF(Tabela2[[#This Row],[progresso_pct]]=100,Tabela2[[#This Row],[Retorno Previsto $]],0)</f>
        <v>0</v>
      </c>
      <c r="Z110" s="21"/>
      <c r="AA110" s="21"/>
      <c r="AB110" s="21"/>
      <c r="AC110" s="21"/>
      <c r="AD110" s="47" t="str">
        <f>IF(Tabela2[[#This Row],[progresso_pct]] = 100,IFERROR((Tabela2[[#This Row],[Retorno Previsto $]]-Tabela2[[#This Row],[spent_capex]])/Tabela2[[#This Row],[spent_capex]]," ")," ")</f>
        <v xml:space="preserve"> </v>
      </c>
      <c r="AE110" s="21"/>
      <c r="AF110" s="21"/>
      <c r="AG110" s="21"/>
      <c r="AH110" s="21"/>
      <c r="AI110" s="21"/>
      <c r="AJ110" s="21"/>
      <c r="AK110" s="21"/>
      <c r="AL110" s="21"/>
      <c r="AM110" s="21">
        <f>IFERROR(Tabela2[[#This Row],[Data Fim PMO]]-Tabela2[[#This Row],[Data Pedido PMO]],"")</f>
        <v>0</v>
      </c>
      <c r="AN110" s="21"/>
      <c r="AO110" s="21"/>
      <c r="AP110" s="21" t="str">
        <f>IF(Tabela2[[#This Row],[Data Fim Prototipagem2]]=0," ",IFERROR(Tabela2[[#This Row],[Data Fim Prototipagem2]]-Tabela2[[#This Row],[Data Inicio Prototipagem]],""))</f>
        <v xml:space="preserve"> </v>
      </c>
      <c r="AQ110" s="21"/>
      <c r="AR110" s="21"/>
    </row>
    <row r="111" spans="1:44" x14ac:dyDescent="0.3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2"/>
      <c r="O111" s="22"/>
      <c r="P111" s="22"/>
      <c r="Q111" s="22"/>
      <c r="R111" s="22"/>
      <c r="S111" s="22"/>
      <c r="T111" s="39"/>
      <c r="U111" s="21"/>
      <c r="V111" s="21"/>
      <c r="W111" s="50">
        <f>((Tabela2[[#This Row],[Horas economizadas anuais]] / 12) / 4)</f>
        <v>0</v>
      </c>
      <c r="X111" s="21">
        <f>(_xlfn.XLOOKUP(Tabela2[[#This Row],[setor]],dim_custo_setor_horas!A:A,dim_custo_setor_horas!B:B))*Tabela2[[#This Row],[Horas economizadas anuais]]</f>
        <v>0</v>
      </c>
      <c r="Y111" s="21">
        <f>IF(Tabela2[[#This Row],[progresso_pct]]=100,Tabela2[[#This Row],[Retorno Previsto $]],0)</f>
        <v>0</v>
      </c>
      <c r="Z111" s="21"/>
      <c r="AA111" s="21"/>
      <c r="AB111" s="21"/>
      <c r="AC111" s="21"/>
      <c r="AD111" s="47" t="str">
        <f>IF(Tabela2[[#This Row],[progresso_pct]] = 100,IFERROR((Tabela2[[#This Row],[Retorno Previsto $]]-Tabela2[[#This Row],[spent_capex]])/Tabela2[[#This Row],[spent_capex]]," ")," ")</f>
        <v xml:space="preserve"> </v>
      </c>
      <c r="AE111" s="21"/>
      <c r="AF111" s="21"/>
      <c r="AG111" s="21"/>
      <c r="AH111" s="21"/>
      <c r="AI111" s="21"/>
      <c r="AJ111" s="21"/>
      <c r="AK111" s="21"/>
      <c r="AL111" s="21"/>
      <c r="AM111" s="21">
        <f>IFERROR(Tabela2[[#This Row],[Data Fim PMO]]-Tabela2[[#This Row],[Data Pedido PMO]],"")</f>
        <v>0</v>
      </c>
      <c r="AN111" s="21"/>
      <c r="AO111" s="21"/>
      <c r="AP111" s="21" t="str">
        <f>IF(Tabela2[[#This Row],[Data Fim Prototipagem2]]=0," ",IFERROR(Tabela2[[#This Row],[Data Fim Prototipagem2]]-Tabela2[[#This Row],[Data Inicio Prototipagem]],""))</f>
        <v xml:space="preserve"> </v>
      </c>
      <c r="AQ111" s="21"/>
      <c r="AR111" s="21"/>
    </row>
    <row r="112" spans="1:44" x14ac:dyDescent="0.3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2"/>
      <c r="O112" s="22"/>
      <c r="P112" s="22"/>
      <c r="Q112" s="22"/>
      <c r="R112" s="22"/>
      <c r="S112" s="22"/>
      <c r="T112" s="39"/>
      <c r="U112" s="21"/>
      <c r="V112" s="21"/>
      <c r="W112" s="50">
        <f>((Tabela2[[#This Row],[Horas economizadas anuais]] / 12) / 4)</f>
        <v>0</v>
      </c>
      <c r="X112" s="21">
        <f>(_xlfn.XLOOKUP(Tabela2[[#This Row],[setor]],dim_custo_setor_horas!A:A,dim_custo_setor_horas!B:B))*Tabela2[[#This Row],[Horas economizadas anuais]]</f>
        <v>0</v>
      </c>
      <c r="Y112" s="21">
        <f>IF(Tabela2[[#This Row],[progresso_pct]]=100,Tabela2[[#This Row],[Retorno Previsto $]],0)</f>
        <v>0</v>
      </c>
      <c r="Z112" s="21"/>
      <c r="AA112" s="21"/>
      <c r="AB112" s="21"/>
      <c r="AC112" s="21"/>
      <c r="AD112" s="47" t="str">
        <f>IF(Tabela2[[#This Row],[progresso_pct]] = 100,IFERROR((Tabela2[[#This Row],[Retorno Previsto $]]-Tabela2[[#This Row],[spent_capex]])/Tabela2[[#This Row],[spent_capex]]," ")," ")</f>
        <v xml:space="preserve"> </v>
      </c>
      <c r="AE112" s="21"/>
      <c r="AF112" s="21"/>
      <c r="AG112" s="21"/>
      <c r="AH112" s="21"/>
      <c r="AI112" s="21"/>
      <c r="AJ112" s="21"/>
      <c r="AK112" s="21"/>
      <c r="AL112" s="21"/>
      <c r="AM112" s="21">
        <f>IFERROR(Tabela2[[#This Row],[Data Fim PMO]]-Tabela2[[#This Row],[Data Pedido PMO]],"")</f>
        <v>0</v>
      </c>
      <c r="AN112" s="21"/>
      <c r="AO112" s="21"/>
      <c r="AP112" s="21" t="str">
        <f>IF(Tabela2[[#This Row],[Data Fim Prototipagem2]]=0," ",IFERROR(Tabela2[[#This Row],[Data Fim Prototipagem2]]-Tabela2[[#This Row],[Data Inicio Prototipagem]],""))</f>
        <v xml:space="preserve"> </v>
      </c>
      <c r="AQ112" s="21"/>
      <c r="AR112" s="21"/>
    </row>
    <row r="113" spans="1:44" x14ac:dyDescent="0.3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2"/>
      <c r="O113" s="22"/>
      <c r="P113" s="22"/>
      <c r="Q113" s="22"/>
      <c r="R113" s="22"/>
      <c r="S113" s="22"/>
      <c r="T113" s="39"/>
      <c r="U113" s="21"/>
      <c r="V113" s="21"/>
      <c r="W113" s="50">
        <f>((Tabela2[[#This Row],[Horas economizadas anuais]] / 12) / 4)</f>
        <v>0</v>
      </c>
      <c r="X113" s="21">
        <f>(_xlfn.XLOOKUP(Tabela2[[#This Row],[setor]],dim_custo_setor_horas!A:A,dim_custo_setor_horas!B:B))*Tabela2[[#This Row],[Horas economizadas anuais]]</f>
        <v>0</v>
      </c>
      <c r="Y113" s="21">
        <f>IF(Tabela2[[#This Row],[progresso_pct]]=100,Tabela2[[#This Row],[Retorno Previsto $]],0)</f>
        <v>0</v>
      </c>
      <c r="Z113" s="21"/>
      <c r="AA113" s="21"/>
      <c r="AB113" s="21"/>
      <c r="AC113" s="21"/>
      <c r="AD113" s="47" t="str">
        <f>IF(Tabela2[[#This Row],[progresso_pct]] = 100,IFERROR((Tabela2[[#This Row],[Retorno Previsto $]]-Tabela2[[#This Row],[spent_capex]])/Tabela2[[#This Row],[spent_capex]]," ")," ")</f>
        <v xml:space="preserve"> </v>
      </c>
      <c r="AE113" s="21"/>
      <c r="AF113" s="21"/>
      <c r="AG113" s="21"/>
      <c r="AH113" s="21"/>
      <c r="AI113" s="21"/>
      <c r="AJ113" s="21"/>
      <c r="AK113" s="21"/>
      <c r="AL113" s="21"/>
      <c r="AM113" s="21">
        <f>IFERROR(Tabela2[[#This Row],[Data Fim PMO]]-Tabela2[[#This Row],[Data Pedido PMO]],"")</f>
        <v>0</v>
      </c>
      <c r="AN113" s="21"/>
      <c r="AO113" s="21"/>
      <c r="AP113" s="21" t="str">
        <f>IF(Tabela2[[#This Row],[Data Fim Prototipagem2]]=0," ",IFERROR(Tabela2[[#This Row],[Data Fim Prototipagem2]]-Tabela2[[#This Row],[Data Inicio Prototipagem]],""))</f>
        <v xml:space="preserve"> </v>
      </c>
      <c r="AQ113" s="21"/>
      <c r="AR113" s="21"/>
    </row>
    <row r="114" spans="1:44" x14ac:dyDescent="0.3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2"/>
      <c r="O114" s="22"/>
      <c r="P114" s="22"/>
      <c r="Q114" s="22"/>
      <c r="R114" s="22"/>
      <c r="S114" s="22"/>
      <c r="T114" s="39"/>
      <c r="U114" s="21"/>
      <c r="V114" s="21"/>
      <c r="W114" s="50">
        <f>((Tabela2[[#This Row],[Horas economizadas anuais]] / 12) / 4)</f>
        <v>0</v>
      </c>
      <c r="X114" s="21">
        <f>(_xlfn.XLOOKUP(Tabela2[[#This Row],[setor]],dim_custo_setor_horas!A:A,dim_custo_setor_horas!B:B))*Tabela2[[#This Row],[Horas economizadas anuais]]</f>
        <v>0</v>
      </c>
      <c r="Y114" s="21">
        <f>IF(Tabela2[[#This Row],[progresso_pct]]=100,Tabela2[[#This Row],[Retorno Previsto $]],0)</f>
        <v>0</v>
      </c>
      <c r="Z114" s="21"/>
      <c r="AA114" s="21"/>
      <c r="AB114" s="21"/>
      <c r="AC114" s="21"/>
      <c r="AD114" s="47" t="str">
        <f>IF(Tabela2[[#This Row],[progresso_pct]] = 100,IFERROR((Tabela2[[#This Row],[Retorno Previsto $]]-Tabela2[[#This Row],[spent_capex]])/Tabela2[[#This Row],[spent_capex]]," ")," ")</f>
        <v xml:space="preserve"> </v>
      </c>
      <c r="AE114" s="21"/>
      <c r="AF114" s="21"/>
      <c r="AG114" s="21"/>
      <c r="AH114" s="21"/>
      <c r="AI114" s="21"/>
      <c r="AJ114" s="21"/>
      <c r="AK114" s="21"/>
      <c r="AL114" s="21"/>
      <c r="AM114" s="21">
        <f>IFERROR(Tabela2[[#This Row],[Data Fim PMO]]-Tabela2[[#This Row],[Data Pedido PMO]],"")</f>
        <v>0</v>
      </c>
      <c r="AN114" s="21"/>
      <c r="AO114" s="21"/>
      <c r="AP114" s="21" t="str">
        <f>IF(Tabela2[[#This Row],[Data Fim Prototipagem2]]=0," ",IFERROR(Tabela2[[#This Row],[Data Fim Prototipagem2]]-Tabela2[[#This Row],[Data Inicio Prototipagem]],""))</f>
        <v xml:space="preserve"> </v>
      </c>
      <c r="AQ114" s="21"/>
      <c r="AR114" s="21"/>
    </row>
    <row r="115" spans="1:44" x14ac:dyDescent="0.3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2"/>
      <c r="O115" s="22"/>
      <c r="P115" s="22"/>
      <c r="Q115" s="22"/>
      <c r="R115" s="22"/>
      <c r="S115" s="22"/>
      <c r="T115" s="39"/>
      <c r="U115" s="21"/>
      <c r="V115" s="21"/>
      <c r="W115" s="50">
        <f>((Tabela2[[#This Row],[Horas economizadas anuais]] / 12) / 4)</f>
        <v>0</v>
      </c>
      <c r="X115" s="21">
        <f>(_xlfn.XLOOKUP(Tabela2[[#This Row],[setor]],dim_custo_setor_horas!A:A,dim_custo_setor_horas!B:B))*Tabela2[[#This Row],[Horas economizadas anuais]]</f>
        <v>0</v>
      </c>
      <c r="Y115" s="21">
        <f>IF(Tabela2[[#This Row],[progresso_pct]]=100,Tabela2[[#This Row],[Retorno Previsto $]],0)</f>
        <v>0</v>
      </c>
      <c r="Z115" s="21"/>
      <c r="AA115" s="21"/>
      <c r="AB115" s="21"/>
      <c r="AC115" s="21"/>
      <c r="AD115" s="47" t="str">
        <f>IF(Tabela2[[#This Row],[progresso_pct]] = 100,IFERROR((Tabela2[[#This Row],[Retorno Previsto $]]-Tabela2[[#This Row],[spent_capex]])/Tabela2[[#This Row],[spent_capex]]," ")," ")</f>
        <v xml:space="preserve"> </v>
      </c>
      <c r="AE115" s="21"/>
      <c r="AF115" s="21"/>
      <c r="AG115" s="21"/>
      <c r="AH115" s="21"/>
      <c r="AI115" s="21"/>
      <c r="AJ115" s="21"/>
      <c r="AK115" s="21"/>
      <c r="AL115" s="21"/>
      <c r="AM115" s="21">
        <f>IFERROR(Tabela2[[#This Row],[Data Fim PMO]]-Tabela2[[#This Row],[Data Pedido PMO]],"")</f>
        <v>0</v>
      </c>
      <c r="AN115" s="21"/>
      <c r="AO115" s="21"/>
      <c r="AP115" s="21" t="str">
        <f>IF(Tabela2[[#This Row],[Data Fim Prototipagem2]]=0," ",IFERROR(Tabela2[[#This Row],[Data Fim Prototipagem2]]-Tabela2[[#This Row],[Data Inicio Prototipagem]],""))</f>
        <v xml:space="preserve"> </v>
      </c>
      <c r="AQ115" s="21"/>
      <c r="AR115" s="21"/>
    </row>
    <row r="116" spans="1:44" x14ac:dyDescent="0.3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2"/>
      <c r="O116" s="22"/>
      <c r="P116" s="22"/>
      <c r="Q116" s="22"/>
      <c r="R116" s="22"/>
      <c r="S116" s="22"/>
      <c r="T116" s="39"/>
      <c r="U116" s="21"/>
      <c r="V116" s="21"/>
      <c r="W116" s="50">
        <f>((Tabela2[[#This Row],[Horas economizadas anuais]] / 12) / 4)</f>
        <v>0</v>
      </c>
      <c r="X116" s="21">
        <f>(_xlfn.XLOOKUP(Tabela2[[#This Row],[setor]],dim_custo_setor_horas!A:A,dim_custo_setor_horas!B:B))*Tabela2[[#This Row],[Horas economizadas anuais]]</f>
        <v>0</v>
      </c>
      <c r="Y116" s="21">
        <f>IF(Tabela2[[#This Row],[progresso_pct]]=100,Tabela2[[#This Row],[Retorno Previsto $]],0)</f>
        <v>0</v>
      </c>
      <c r="Z116" s="21"/>
      <c r="AA116" s="21"/>
      <c r="AB116" s="21"/>
      <c r="AC116" s="21"/>
      <c r="AD116" s="47" t="str">
        <f>IF(Tabela2[[#This Row],[progresso_pct]] = 100,IFERROR((Tabela2[[#This Row],[Retorno Previsto $]]-Tabela2[[#This Row],[spent_capex]])/Tabela2[[#This Row],[spent_capex]]," ")," ")</f>
        <v xml:space="preserve"> </v>
      </c>
      <c r="AE116" s="21"/>
      <c r="AF116" s="21"/>
      <c r="AG116" s="21"/>
      <c r="AH116" s="21"/>
      <c r="AI116" s="21"/>
      <c r="AJ116" s="21"/>
      <c r="AK116" s="21"/>
      <c r="AL116" s="21"/>
      <c r="AM116" s="21">
        <f>IFERROR(Tabela2[[#This Row],[Data Fim PMO]]-Tabela2[[#This Row],[Data Pedido PMO]],"")</f>
        <v>0</v>
      </c>
      <c r="AN116" s="21"/>
      <c r="AO116" s="21"/>
      <c r="AP116" s="21" t="str">
        <f>IF(Tabela2[[#This Row],[Data Fim Prototipagem2]]=0," ",IFERROR(Tabela2[[#This Row],[Data Fim Prototipagem2]]-Tabela2[[#This Row],[Data Inicio Prototipagem]],""))</f>
        <v xml:space="preserve"> </v>
      </c>
      <c r="AQ116" s="21"/>
      <c r="AR116" s="21"/>
    </row>
    <row r="117" spans="1:44" x14ac:dyDescent="0.3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2"/>
      <c r="O117" s="22"/>
      <c r="P117" s="22"/>
      <c r="Q117" s="22"/>
      <c r="R117" s="22"/>
      <c r="S117" s="22"/>
      <c r="T117" s="39"/>
      <c r="U117" s="21"/>
      <c r="V117" s="21"/>
      <c r="W117" s="50">
        <f>((Tabela2[[#This Row],[Horas economizadas anuais]] / 12) / 4)</f>
        <v>0</v>
      </c>
      <c r="X117" s="21">
        <f>(_xlfn.XLOOKUP(Tabela2[[#This Row],[setor]],dim_custo_setor_horas!A:A,dim_custo_setor_horas!B:B))*Tabela2[[#This Row],[Horas economizadas anuais]]</f>
        <v>0</v>
      </c>
      <c r="Y117" s="21">
        <f>IF(Tabela2[[#This Row],[progresso_pct]]=100,Tabela2[[#This Row],[Retorno Previsto $]],0)</f>
        <v>0</v>
      </c>
      <c r="Z117" s="21"/>
      <c r="AA117" s="21"/>
      <c r="AB117" s="21"/>
      <c r="AC117" s="21"/>
      <c r="AD117" s="47" t="str">
        <f>IF(Tabela2[[#This Row],[progresso_pct]] = 100,IFERROR((Tabela2[[#This Row],[Retorno Previsto $]]-Tabela2[[#This Row],[spent_capex]])/Tabela2[[#This Row],[spent_capex]]," ")," ")</f>
        <v xml:space="preserve"> </v>
      </c>
      <c r="AE117" s="21"/>
      <c r="AF117" s="21"/>
      <c r="AG117" s="21"/>
      <c r="AH117" s="21"/>
      <c r="AI117" s="21"/>
      <c r="AJ117" s="21"/>
      <c r="AK117" s="21"/>
      <c r="AL117" s="21"/>
      <c r="AM117" s="21">
        <f>IFERROR(Tabela2[[#This Row],[Data Fim PMO]]-Tabela2[[#This Row],[Data Pedido PMO]],"")</f>
        <v>0</v>
      </c>
      <c r="AN117" s="21"/>
      <c r="AO117" s="21"/>
      <c r="AP117" s="21" t="str">
        <f>IF(Tabela2[[#This Row],[Data Fim Prototipagem2]]=0," ",IFERROR(Tabela2[[#This Row],[Data Fim Prototipagem2]]-Tabela2[[#This Row],[Data Inicio Prototipagem]],""))</f>
        <v xml:space="preserve"> </v>
      </c>
      <c r="AQ117" s="21"/>
      <c r="AR117" s="21"/>
    </row>
    <row r="118" spans="1:44" x14ac:dyDescent="0.3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2"/>
      <c r="O118" s="22"/>
      <c r="P118" s="22"/>
      <c r="Q118" s="22"/>
      <c r="R118" s="22"/>
      <c r="S118" s="22"/>
      <c r="T118" s="39"/>
      <c r="U118" s="21"/>
      <c r="V118" s="21"/>
      <c r="W118" s="50">
        <f>((Tabela2[[#This Row],[Horas economizadas anuais]] / 12) / 4)</f>
        <v>0</v>
      </c>
      <c r="X118" s="21">
        <f>(_xlfn.XLOOKUP(Tabela2[[#This Row],[setor]],dim_custo_setor_horas!A:A,dim_custo_setor_horas!B:B))*Tabela2[[#This Row],[Horas economizadas anuais]]</f>
        <v>0</v>
      </c>
      <c r="Y118" s="21">
        <f>IF(Tabela2[[#This Row],[progresso_pct]]=100,Tabela2[[#This Row],[Retorno Previsto $]],0)</f>
        <v>0</v>
      </c>
      <c r="Z118" s="21"/>
      <c r="AA118" s="21"/>
      <c r="AB118" s="21"/>
      <c r="AC118" s="21"/>
      <c r="AD118" s="47" t="str">
        <f>IF(Tabela2[[#This Row],[progresso_pct]] = 100,IFERROR((Tabela2[[#This Row],[Retorno Previsto $]]-Tabela2[[#This Row],[spent_capex]])/Tabela2[[#This Row],[spent_capex]]," ")," ")</f>
        <v xml:space="preserve"> </v>
      </c>
      <c r="AE118" s="21"/>
      <c r="AF118" s="21"/>
      <c r="AG118" s="21"/>
      <c r="AH118" s="21"/>
      <c r="AI118" s="21"/>
      <c r="AJ118" s="21"/>
      <c r="AK118" s="21"/>
      <c r="AL118" s="21"/>
      <c r="AM118" s="21">
        <f>IFERROR(Tabela2[[#This Row],[Data Fim PMO]]-Tabela2[[#This Row],[Data Pedido PMO]],"")</f>
        <v>0</v>
      </c>
      <c r="AN118" s="21"/>
      <c r="AO118" s="21"/>
      <c r="AP118" s="21" t="str">
        <f>IF(Tabela2[[#This Row],[Data Fim Prototipagem2]]=0," ",IFERROR(Tabela2[[#This Row],[Data Fim Prototipagem2]]-Tabela2[[#This Row],[Data Inicio Prototipagem]],""))</f>
        <v xml:space="preserve"> </v>
      </c>
      <c r="AQ118" s="21"/>
      <c r="AR118" s="21"/>
    </row>
    <row r="119" spans="1:44" x14ac:dyDescent="0.3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2"/>
      <c r="O119" s="22"/>
      <c r="P119" s="22"/>
      <c r="Q119" s="22"/>
      <c r="R119" s="22"/>
      <c r="S119" s="22"/>
      <c r="T119" s="39"/>
      <c r="U119" s="21"/>
      <c r="V119" s="21"/>
      <c r="W119" s="50">
        <f>((Tabela2[[#This Row],[Horas economizadas anuais]] / 12) / 4)</f>
        <v>0</v>
      </c>
      <c r="X119" s="21">
        <f>(_xlfn.XLOOKUP(Tabela2[[#This Row],[setor]],dim_custo_setor_horas!A:A,dim_custo_setor_horas!B:B))*Tabela2[[#This Row],[Horas economizadas anuais]]</f>
        <v>0</v>
      </c>
      <c r="Y119" s="21">
        <f>IF(Tabela2[[#This Row],[progresso_pct]]=100,Tabela2[[#This Row],[Retorno Previsto $]],0)</f>
        <v>0</v>
      </c>
      <c r="Z119" s="21"/>
      <c r="AA119" s="21"/>
      <c r="AB119" s="21"/>
      <c r="AC119" s="21"/>
      <c r="AD119" s="47" t="str">
        <f>IF(Tabela2[[#This Row],[progresso_pct]] = 100,IFERROR((Tabela2[[#This Row],[Retorno Previsto $]]-Tabela2[[#This Row],[spent_capex]])/Tabela2[[#This Row],[spent_capex]]," ")," ")</f>
        <v xml:space="preserve"> </v>
      </c>
      <c r="AE119" s="21"/>
      <c r="AF119" s="21"/>
      <c r="AG119" s="21"/>
      <c r="AH119" s="21"/>
      <c r="AI119" s="21"/>
      <c r="AJ119" s="21"/>
      <c r="AK119" s="21"/>
      <c r="AL119" s="21"/>
      <c r="AM119" s="21">
        <f>IFERROR(Tabela2[[#This Row],[Data Fim PMO]]-Tabela2[[#This Row],[Data Pedido PMO]],"")</f>
        <v>0</v>
      </c>
      <c r="AN119" s="21"/>
      <c r="AO119" s="21"/>
      <c r="AP119" s="21" t="str">
        <f>IF(Tabela2[[#This Row],[Data Fim Prototipagem2]]=0," ",IFERROR(Tabela2[[#This Row],[Data Fim Prototipagem2]]-Tabela2[[#This Row],[Data Inicio Prototipagem]],""))</f>
        <v xml:space="preserve"> </v>
      </c>
      <c r="AQ119" s="21"/>
      <c r="AR119" s="21"/>
    </row>
    <row r="120" spans="1:44" x14ac:dyDescent="0.3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2"/>
      <c r="O120" s="22"/>
      <c r="P120" s="22"/>
      <c r="Q120" s="22"/>
      <c r="R120" s="22"/>
      <c r="S120" s="22"/>
      <c r="T120" s="39"/>
      <c r="U120" s="21"/>
      <c r="V120" s="21"/>
      <c r="W120" s="50">
        <f>((Tabela2[[#This Row],[Horas economizadas anuais]] / 12) / 4)</f>
        <v>0</v>
      </c>
      <c r="X120" s="21">
        <f>(_xlfn.XLOOKUP(Tabela2[[#This Row],[setor]],dim_custo_setor_horas!A:A,dim_custo_setor_horas!B:B))*Tabela2[[#This Row],[Horas economizadas anuais]]</f>
        <v>0</v>
      </c>
      <c r="Y120" s="21">
        <f>IF(Tabela2[[#This Row],[progresso_pct]]=100,Tabela2[[#This Row],[Retorno Previsto $]],0)</f>
        <v>0</v>
      </c>
      <c r="Z120" s="21"/>
      <c r="AA120" s="21"/>
      <c r="AB120" s="21"/>
      <c r="AC120" s="21"/>
      <c r="AD120" s="47" t="str">
        <f>IF(Tabela2[[#This Row],[progresso_pct]] = 100,IFERROR((Tabela2[[#This Row],[Retorno Previsto $]]-Tabela2[[#This Row],[spent_capex]])/Tabela2[[#This Row],[spent_capex]]," ")," ")</f>
        <v xml:space="preserve"> </v>
      </c>
      <c r="AE120" s="21"/>
      <c r="AF120" s="21"/>
      <c r="AG120" s="21"/>
      <c r="AH120" s="21"/>
      <c r="AI120" s="21"/>
      <c r="AJ120" s="21"/>
      <c r="AK120" s="21"/>
      <c r="AL120" s="21"/>
      <c r="AM120" s="21">
        <f>IFERROR(Tabela2[[#This Row],[Data Fim PMO]]-Tabela2[[#This Row],[Data Pedido PMO]],"")</f>
        <v>0</v>
      </c>
      <c r="AN120" s="21"/>
      <c r="AO120" s="21"/>
      <c r="AP120" s="21" t="str">
        <f>IF(Tabela2[[#This Row],[Data Fim Prototipagem2]]=0," ",IFERROR(Tabela2[[#This Row],[Data Fim Prototipagem2]]-Tabela2[[#This Row],[Data Inicio Prototipagem]],""))</f>
        <v xml:space="preserve"> </v>
      </c>
      <c r="AQ120" s="21"/>
      <c r="AR120" s="21"/>
    </row>
    <row r="121" spans="1:44" x14ac:dyDescent="0.3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2"/>
      <c r="O121" s="22"/>
      <c r="P121" s="22"/>
      <c r="Q121" s="22"/>
      <c r="R121" s="22"/>
      <c r="S121" s="22"/>
      <c r="T121" s="39"/>
      <c r="U121" s="21"/>
      <c r="V121" s="21"/>
      <c r="W121" s="50">
        <f>((Tabela2[[#This Row],[Horas economizadas anuais]] / 12) / 4)</f>
        <v>0</v>
      </c>
      <c r="X121" s="21">
        <f>(_xlfn.XLOOKUP(Tabela2[[#This Row],[setor]],dim_custo_setor_horas!A:A,dim_custo_setor_horas!B:B))*Tabela2[[#This Row],[Horas economizadas anuais]]</f>
        <v>0</v>
      </c>
      <c r="Y121" s="21">
        <f>IF(Tabela2[[#This Row],[progresso_pct]]=100,Tabela2[[#This Row],[Retorno Previsto $]],0)</f>
        <v>0</v>
      </c>
      <c r="Z121" s="21"/>
      <c r="AA121" s="21"/>
      <c r="AB121" s="21"/>
      <c r="AC121" s="21"/>
      <c r="AD121" s="47" t="str">
        <f>IF(Tabela2[[#This Row],[progresso_pct]] = 100,IFERROR((Tabela2[[#This Row],[Retorno Previsto $]]-Tabela2[[#This Row],[spent_capex]])/Tabela2[[#This Row],[spent_capex]]," ")," ")</f>
        <v xml:space="preserve"> </v>
      </c>
      <c r="AE121" s="21"/>
      <c r="AF121" s="21"/>
      <c r="AG121" s="21"/>
      <c r="AH121" s="21"/>
      <c r="AI121" s="21"/>
      <c r="AJ121" s="21"/>
      <c r="AK121" s="21"/>
      <c r="AL121" s="21"/>
      <c r="AM121" s="21">
        <f>IFERROR(Tabela2[[#This Row],[Data Fim PMO]]-Tabela2[[#This Row],[Data Pedido PMO]],"")</f>
        <v>0</v>
      </c>
      <c r="AN121" s="21"/>
      <c r="AO121" s="21"/>
      <c r="AP121" s="21" t="str">
        <f>IF(Tabela2[[#This Row],[Data Fim Prototipagem2]]=0," ",IFERROR(Tabela2[[#This Row],[Data Fim Prototipagem2]]-Tabela2[[#This Row],[Data Inicio Prototipagem]],""))</f>
        <v xml:space="preserve"> </v>
      </c>
      <c r="AQ121" s="21"/>
      <c r="AR121" s="21"/>
    </row>
    <row r="122" spans="1:44" x14ac:dyDescent="0.3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2"/>
      <c r="O122" s="22"/>
      <c r="P122" s="22"/>
      <c r="Q122" s="22"/>
      <c r="R122" s="22"/>
      <c r="S122" s="22"/>
      <c r="T122" s="39"/>
      <c r="U122" s="21"/>
      <c r="V122" s="21"/>
      <c r="W122" s="50">
        <f>((Tabela2[[#This Row],[Horas economizadas anuais]] / 12) / 4)</f>
        <v>0</v>
      </c>
      <c r="X122" s="21">
        <f>(_xlfn.XLOOKUP(Tabela2[[#This Row],[setor]],dim_custo_setor_horas!A:A,dim_custo_setor_horas!B:B))*Tabela2[[#This Row],[Horas economizadas anuais]]</f>
        <v>0</v>
      </c>
      <c r="Y122" s="21">
        <f>IF(Tabela2[[#This Row],[progresso_pct]]=100,Tabela2[[#This Row],[Retorno Previsto $]],0)</f>
        <v>0</v>
      </c>
      <c r="Z122" s="21"/>
      <c r="AA122" s="21"/>
      <c r="AB122" s="21"/>
      <c r="AC122" s="21"/>
      <c r="AD122" s="47" t="str">
        <f>IF(Tabela2[[#This Row],[progresso_pct]] = 100,IFERROR((Tabela2[[#This Row],[Retorno Previsto $]]-Tabela2[[#This Row],[spent_capex]])/Tabela2[[#This Row],[spent_capex]]," ")," ")</f>
        <v xml:space="preserve"> </v>
      </c>
      <c r="AE122" s="21"/>
      <c r="AF122" s="21"/>
      <c r="AG122" s="21"/>
      <c r="AH122" s="21"/>
      <c r="AI122" s="21"/>
      <c r="AJ122" s="21"/>
      <c r="AK122" s="21"/>
      <c r="AL122" s="21"/>
      <c r="AM122" s="21">
        <f>IFERROR(Tabela2[[#This Row],[Data Fim PMO]]-Tabela2[[#This Row],[Data Pedido PMO]],"")</f>
        <v>0</v>
      </c>
      <c r="AN122" s="21"/>
      <c r="AO122" s="21"/>
      <c r="AP122" s="21" t="str">
        <f>IF(Tabela2[[#This Row],[Data Fim Prototipagem2]]=0," ",IFERROR(Tabela2[[#This Row],[Data Fim Prototipagem2]]-Tabela2[[#This Row],[Data Inicio Prototipagem]],""))</f>
        <v xml:space="preserve"> </v>
      </c>
      <c r="AQ122" s="21"/>
      <c r="AR122" s="21"/>
    </row>
    <row r="123" spans="1:44" x14ac:dyDescent="0.3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2"/>
      <c r="O123" s="22"/>
      <c r="P123" s="22"/>
      <c r="Q123" s="22"/>
      <c r="R123" s="22"/>
      <c r="S123" s="22"/>
      <c r="T123" s="39"/>
      <c r="U123" s="21"/>
      <c r="V123" s="21"/>
      <c r="W123" s="50">
        <f>((Tabela2[[#This Row],[Horas economizadas anuais]] / 12) / 4)</f>
        <v>0</v>
      </c>
      <c r="X123" s="21">
        <f>(_xlfn.XLOOKUP(Tabela2[[#This Row],[setor]],dim_custo_setor_horas!A:A,dim_custo_setor_horas!B:B))*Tabela2[[#This Row],[Horas economizadas anuais]]</f>
        <v>0</v>
      </c>
      <c r="Y123" s="21">
        <f>IF(Tabela2[[#This Row],[progresso_pct]]=100,Tabela2[[#This Row],[Retorno Previsto $]],0)</f>
        <v>0</v>
      </c>
      <c r="Z123" s="21"/>
      <c r="AA123" s="21"/>
      <c r="AB123" s="21"/>
      <c r="AC123" s="21"/>
      <c r="AD123" s="47" t="str">
        <f>IF(Tabela2[[#This Row],[progresso_pct]] = 100,IFERROR((Tabela2[[#This Row],[Retorno Previsto $]]-Tabela2[[#This Row],[spent_capex]])/Tabela2[[#This Row],[spent_capex]]," ")," ")</f>
        <v xml:space="preserve"> </v>
      </c>
      <c r="AE123" s="21"/>
      <c r="AF123" s="21"/>
      <c r="AG123" s="21"/>
      <c r="AH123" s="21"/>
      <c r="AI123" s="21"/>
      <c r="AJ123" s="21"/>
      <c r="AK123" s="21"/>
      <c r="AL123" s="21"/>
      <c r="AM123" s="21">
        <f>IFERROR(Tabela2[[#This Row],[Data Fim PMO]]-Tabela2[[#This Row],[Data Pedido PMO]],"")</f>
        <v>0</v>
      </c>
      <c r="AN123" s="21"/>
      <c r="AO123" s="21"/>
      <c r="AP123" s="21" t="str">
        <f>IF(Tabela2[[#This Row],[Data Fim Prototipagem2]]=0," ",IFERROR(Tabela2[[#This Row],[Data Fim Prototipagem2]]-Tabela2[[#This Row],[Data Inicio Prototipagem]],""))</f>
        <v xml:space="preserve"> </v>
      </c>
      <c r="AQ123" s="21"/>
      <c r="AR123" s="21"/>
    </row>
    <row r="124" spans="1:44" x14ac:dyDescent="0.3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2"/>
      <c r="O124" s="22"/>
      <c r="P124" s="22"/>
      <c r="Q124" s="22"/>
      <c r="R124" s="22"/>
      <c r="S124" s="22"/>
      <c r="T124" s="39"/>
      <c r="U124" s="21"/>
      <c r="V124" s="21"/>
      <c r="W124" s="50">
        <f>((Tabela2[[#This Row],[Horas economizadas anuais]] / 12) / 4)</f>
        <v>0</v>
      </c>
      <c r="X124" s="21">
        <f>(_xlfn.XLOOKUP(Tabela2[[#This Row],[setor]],dim_custo_setor_horas!A:A,dim_custo_setor_horas!B:B))*Tabela2[[#This Row],[Horas economizadas anuais]]</f>
        <v>0</v>
      </c>
      <c r="Y124" s="21">
        <f>IF(Tabela2[[#This Row],[progresso_pct]]=100,Tabela2[[#This Row],[Retorno Previsto $]],0)</f>
        <v>0</v>
      </c>
      <c r="Z124" s="21"/>
      <c r="AA124" s="21"/>
      <c r="AB124" s="21"/>
      <c r="AC124" s="21"/>
      <c r="AD124" s="47" t="str">
        <f>IF(Tabela2[[#This Row],[progresso_pct]] = 100,IFERROR((Tabela2[[#This Row],[Retorno Previsto $]]-Tabela2[[#This Row],[spent_capex]])/Tabela2[[#This Row],[spent_capex]]," ")," ")</f>
        <v xml:space="preserve"> </v>
      </c>
      <c r="AE124" s="21"/>
      <c r="AF124" s="21"/>
      <c r="AG124" s="21"/>
      <c r="AH124" s="21"/>
      <c r="AI124" s="21"/>
      <c r="AJ124" s="21"/>
      <c r="AK124" s="21"/>
      <c r="AL124" s="21"/>
      <c r="AM124" s="21">
        <f>IFERROR(Tabela2[[#This Row],[Data Fim PMO]]-Tabela2[[#This Row],[Data Pedido PMO]],"")</f>
        <v>0</v>
      </c>
      <c r="AN124" s="21"/>
      <c r="AO124" s="21"/>
      <c r="AP124" s="21" t="str">
        <f>IF(Tabela2[[#This Row],[Data Fim Prototipagem2]]=0," ",IFERROR(Tabela2[[#This Row],[Data Fim Prototipagem2]]-Tabela2[[#This Row],[Data Inicio Prototipagem]],""))</f>
        <v xml:space="preserve"> </v>
      </c>
      <c r="AQ124" s="21"/>
      <c r="AR124" s="21"/>
    </row>
    <row r="125" spans="1:44" x14ac:dyDescent="0.3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2"/>
      <c r="O125" s="22"/>
      <c r="P125" s="22"/>
      <c r="Q125" s="22"/>
      <c r="R125" s="22"/>
      <c r="S125" s="22"/>
      <c r="T125" s="39"/>
      <c r="U125" s="21"/>
      <c r="V125" s="21"/>
      <c r="W125" s="50">
        <f>((Tabela2[[#This Row],[Horas economizadas anuais]] / 12) / 4)</f>
        <v>0</v>
      </c>
      <c r="X125" s="21">
        <f>(_xlfn.XLOOKUP(Tabela2[[#This Row],[setor]],dim_custo_setor_horas!A:A,dim_custo_setor_horas!B:B))*Tabela2[[#This Row],[Horas economizadas anuais]]</f>
        <v>0</v>
      </c>
      <c r="Y125" s="21">
        <f>IF(Tabela2[[#This Row],[progresso_pct]]=100,Tabela2[[#This Row],[Retorno Previsto $]],0)</f>
        <v>0</v>
      </c>
      <c r="Z125" s="21"/>
      <c r="AA125" s="21"/>
      <c r="AB125" s="21"/>
      <c r="AC125" s="21"/>
      <c r="AD125" s="47" t="str">
        <f>IF(Tabela2[[#This Row],[progresso_pct]] = 100,IFERROR((Tabela2[[#This Row],[Retorno Previsto $]]-Tabela2[[#This Row],[spent_capex]])/Tabela2[[#This Row],[spent_capex]]," ")," ")</f>
        <v xml:space="preserve"> </v>
      </c>
      <c r="AE125" s="21"/>
      <c r="AF125" s="21"/>
      <c r="AG125" s="21"/>
      <c r="AH125" s="21"/>
      <c r="AI125" s="21"/>
      <c r="AJ125" s="21"/>
      <c r="AK125" s="21"/>
      <c r="AL125" s="21"/>
      <c r="AM125" s="21">
        <f>IFERROR(Tabela2[[#This Row],[Data Fim PMO]]-Tabela2[[#This Row],[Data Pedido PMO]],"")</f>
        <v>0</v>
      </c>
      <c r="AN125" s="21"/>
      <c r="AO125" s="21"/>
      <c r="AP125" s="21" t="str">
        <f>IF(Tabela2[[#This Row],[Data Fim Prototipagem2]]=0," ",IFERROR(Tabela2[[#This Row],[Data Fim Prototipagem2]]-Tabela2[[#This Row],[Data Inicio Prototipagem]],""))</f>
        <v xml:space="preserve"> </v>
      </c>
      <c r="AQ125" s="21"/>
      <c r="AR125" s="21"/>
    </row>
    <row r="126" spans="1:44" x14ac:dyDescent="0.3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2"/>
      <c r="O126" s="22"/>
      <c r="P126" s="22"/>
      <c r="Q126" s="22"/>
      <c r="R126" s="22"/>
      <c r="S126" s="22"/>
      <c r="T126" s="39"/>
      <c r="U126" s="21"/>
      <c r="V126" s="21"/>
      <c r="W126" s="50">
        <f>((Tabela2[[#This Row],[Horas economizadas anuais]] / 12) / 4)</f>
        <v>0</v>
      </c>
      <c r="X126" s="21">
        <f>(_xlfn.XLOOKUP(Tabela2[[#This Row],[setor]],dim_custo_setor_horas!A:A,dim_custo_setor_horas!B:B))*Tabela2[[#This Row],[Horas economizadas anuais]]</f>
        <v>0</v>
      </c>
      <c r="Y126" s="21">
        <f>IF(Tabela2[[#This Row],[progresso_pct]]=100,Tabela2[[#This Row],[Retorno Previsto $]],0)</f>
        <v>0</v>
      </c>
      <c r="Z126" s="21"/>
      <c r="AA126" s="21"/>
      <c r="AB126" s="21"/>
      <c r="AC126" s="21"/>
      <c r="AD126" s="47" t="str">
        <f>IF(Tabela2[[#This Row],[progresso_pct]] = 100,IFERROR((Tabela2[[#This Row],[Retorno Previsto $]]-Tabela2[[#This Row],[spent_capex]])/Tabela2[[#This Row],[spent_capex]]," ")," ")</f>
        <v xml:space="preserve"> </v>
      </c>
      <c r="AE126" s="21"/>
      <c r="AF126" s="21"/>
      <c r="AG126" s="21"/>
      <c r="AH126" s="21"/>
      <c r="AI126" s="21"/>
      <c r="AJ126" s="21"/>
      <c r="AK126" s="21"/>
      <c r="AL126" s="21"/>
      <c r="AM126" s="21">
        <f>IFERROR(Tabela2[[#This Row],[Data Fim PMO]]-Tabela2[[#This Row],[Data Pedido PMO]],"")</f>
        <v>0</v>
      </c>
      <c r="AN126" s="21"/>
      <c r="AO126" s="21"/>
      <c r="AP126" s="21" t="str">
        <f>IF(Tabela2[[#This Row],[Data Fim Prototipagem2]]=0," ",IFERROR(Tabela2[[#This Row],[Data Fim Prototipagem2]]-Tabela2[[#This Row],[Data Inicio Prototipagem]],""))</f>
        <v xml:space="preserve"> </v>
      </c>
      <c r="AQ126" s="21"/>
      <c r="AR126" s="21"/>
    </row>
    <row r="127" spans="1:44" x14ac:dyDescent="0.3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2"/>
      <c r="O127" s="22"/>
      <c r="P127" s="22"/>
      <c r="Q127" s="22"/>
      <c r="R127" s="22"/>
      <c r="S127" s="22"/>
      <c r="T127" s="39"/>
      <c r="U127" s="21"/>
      <c r="V127" s="21"/>
      <c r="W127" s="50">
        <f>((Tabela2[[#This Row],[Horas economizadas anuais]] / 12) / 4)</f>
        <v>0</v>
      </c>
      <c r="X127" s="21">
        <f>(_xlfn.XLOOKUP(Tabela2[[#This Row],[setor]],dim_custo_setor_horas!A:A,dim_custo_setor_horas!B:B))*Tabela2[[#This Row],[Horas economizadas anuais]]</f>
        <v>0</v>
      </c>
      <c r="Y127" s="21">
        <f>IF(Tabela2[[#This Row],[progresso_pct]]=100,Tabela2[[#This Row],[Retorno Previsto $]],0)</f>
        <v>0</v>
      </c>
      <c r="Z127" s="21"/>
      <c r="AA127" s="21"/>
      <c r="AB127" s="21"/>
      <c r="AC127" s="21"/>
      <c r="AD127" s="47" t="str">
        <f>IF(Tabela2[[#This Row],[progresso_pct]] = 100,IFERROR((Tabela2[[#This Row],[Retorno Previsto $]]-Tabela2[[#This Row],[spent_capex]])/Tabela2[[#This Row],[spent_capex]]," ")," ")</f>
        <v xml:space="preserve"> </v>
      </c>
      <c r="AE127" s="21"/>
      <c r="AF127" s="21"/>
      <c r="AG127" s="21"/>
      <c r="AH127" s="21"/>
      <c r="AI127" s="21"/>
      <c r="AJ127" s="21"/>
      <c r="AK127" s="21"/>
      <c r="AL127" s="21"/>
      <c r="AM127" s="21">
        <f>IFERROR(Tabela2[[#This Row],[Data Fim PMO]]-Tabela2[[#This Row],[Data Pedido PMO]],"")</f>
        <v>0</v>
      </c>
      <c r="AN127" s="21"/>
      <c r="AO127" s="21"/>
      <c r="AP127" s="21" t="str">
        <f>IF(Tabela2[[#This Row],[Data Fim Prototipagem2]]=0," ",IFERROR(Tabela2[[#This Row],[Data Fim Prototipagem2]]-Tabela2[[#This Row],[Data Inicio Prototipagem]],""))</f>
        <v xml:space="preserve"> </v>
      </c>
      <c r="AQ127" s="21"/>
      <c r="AR127" s="21"/>
    </row>
    <row r="128" spans="1:44" x14ac:dyDescent="0.3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2"/>
      <c r="O128" s="22"/>
      <c r="P128" s="22"/>
      <c r="Q128" s="22"/>
      <c r="R128" s="22"/>
      <c r="S128" s="22"/>
      <c r="T128" s="39"/>
      <c r="U128" s="21"/>
      <c r="V128" s="21"/>
      <c r="W128" s="50">
        <f>((Tabela2[[#This Row],[Horas economizadas anuais]] / 12) / 4)</f>
        <v>0</v>
      </c>
      <c r="X128" s="21">
        <f>(_xlfn.XLOOKUP(Tabela2[[#This Row],[setor]],dim_custo_setor_horas!A:A,dim_custo_setor_horas!B:B))*Tabela2[[#This Row],[Horas economizadas anuais]]</f>
        <v>0</v>
      </c>
      <c r="Y128" s="21">
        <f>IF(Tabela2[[#This Row],[progresso_pct]]=100,Tabela2[[#This Row],[Retorno Previsto $]],0)</f>
        <v>0</v>
      </c>
      <c r="Z128" s="21"/>
      <c r="AA128" s="21"/>
      <c r="AB128" s="21"/>
      <c r="AC128" s="21"/>
      <c r="AD128" s="47" t="str">
        <f>IF(Tabela2[[#This Row],[progresso_pct]] = 100,IFERROR((Tabela2[[#This Row],[Retorno Previsto $]]-Tabela2[[#This Row],[spent_capex]])/Tabela2[[#This Row],[spent_capex]]," ")," ")</f>
        <v xml:space="preserve"> </v>
      </c>
      <c r="AE128" s="21"/>
      <c r="AF128" s="21"/>
      <c r="AG128" s="21"/>
      <c r="AH128" s="21"/>
      <c r="AI128" s="21"/>
      <c r="AJ128" s="21"/>
      <c r="AK128" s="21"/>
      <c r="AL128" s="21"/>
      <c r="AM128" s="21">
        <f>IFERROR(Tabela2[[#This Row],[Data Fim PMO]]-Tabela2[[#This Row],[Data Pedido PMO]],"")</f>
        <v>0</v>
      </c>
      <c r="AN128" s="21"/>
      <c r="AO128" s="21"/>
      <c r="AP128" s="21" t="str">
        <f>IF(Tabela2[[#This Row],[Data Fim Prototipagem2]]=0," ",IFERROR(Tabela2[[#This Row],[Data Fim Prototipagem2]]-Tabela2[[#This Row],[Data Inicio Prototipagem]],""))</f>
        <v xml:space="preserve"> </v>
      </c>
      <c r="AQ128" s="21"/>
      <c r="AR128" s="21"/>
    </row>
    <row r="129" spans="1:44" x14ac:dyDescent="0.3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2"/>
      <c r="O129" s="22"/>
      <c r="P129" s="22"/>
      <c r="Q129" s="22"/>
      <c r="R129" s="22"/>
      <c r="S129" s="22"/>
      <c r="T129" s="39"/>
      <c r="U129" s="21"/>
      <c r="V129" s="21"/>
      <c r="W129" s="50">
        <f>((Tabela2[[#This Row],[Horas economizadas anuais]] / 12) / 4)</f>
        <v>0</v>
      </c>
      <c r="X129" s="21">
        <f>(_xlfn.XLOOKUP(Tabela2[[#This Row],[setor]],dim_custo_setor_horas!A:A,dim_custo_setor_horas!B:B))*Tabela2[[#This Row],[Horas economizadas anuais]]</f>
        <v>0</v>
      </c>
      <c r="Y129" s="21">
        <f>IF(Tabela2[[#This Row],[progresso_pct]]=100,Tabela2[[#This Row],[Retorno Previsto $]],0)</f>
        <v>0</v>
      </c>
      <c r="Z129" s="21"/>
      <c r="AA129" s="21"/>
      <c r="AB129" s="21"/>
      <c r="AC129" s="21"/>
      <c r="AD129" s="47" t="str">
        <f>IF(Tabela2[[#This Row],[progresso_pct]] = 100,IFERROR((Tabela2[[#This Row],[Retorno Previsto $]]-Tabela2[[#This Row],[spent_capex]])/Tabela2[[#This Row],[spent_capex]]," ")," ")</f>
        <v xml:space="preserve"> </v>
      </c>
      <c r="AE129" s="21"/>
      <c r="AF129" s="21"/>
      <c r="AG129" s="21"/>
      <c r="AH129" s="21"/>
      <c r="AI129" s="21"/>
      <c r="AJ129" s="21"/>
      <c r="AK129" s="21"/>
      <c r="AL129" s="21"/>
      <c r="AM129" s="21">
        <f>IFERROR(Tabela2[[#This Row],[Data Fim PMO]]-Tabela2[[#This Row],[Data Pedido PMO]],"")</f>
        <v>0</v>
      </c>
      <c r="AN129" s="21"/>
      <c r="AO129" s="21"/>
      <c r="AP129" s="21" t="str">
        <f>IF(Tabela2[[#This Row],[Data Fim Prototipagem2]]=0," ",IFERROR(Tabela2[[#This Row],[Data Fim Prototipagem2]]-Tabela2[[#This Row],[Data Inicio Prototipagem]],""))</f>
        <v xml:space="preserve"> </v>
      </c>
      <c r="AQ129" s="21"/>
      <c r="AR129" s="21"/>
    </row>
    <row r="130" spans="1:44" x14ac:dyDescent="0.3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2"/>
      <c r="O130" s="22"/>
      <c r="P130" s="22"/>
      <c r="Q130" s="22"/>
      <c r="R130" s="22"/>
      <c r="S130" s="22"/>
      <c r="T130" s="39"/>
      <c r="U130" s="21"/>
      <c r="V130" s="21"/>
      <c r="W130" s="50">
        <f>((Tabela2[[#This Row],[Horas economizadas anuais]] / 12) / 4)</f>
        <v>0</v>
      </c>
      <c r="X130" s="21">
        <f>(_xlfn.XLOOKUP(Tabela2[[#This Row],[setor]],dim_custo_setor_horas!A:A,dim_custo_setor_horas!B:B))*Tabela2[[#This Row],[Horas economizadas anuais]]</f>
        <v>0</v>
      </c>
      <c r="Y130" s="21">
        <f>IF(Tabela2[[#This Row],[progresso_pct]]=100,Tabela2[[#This Row],[Retorno Previsto $]],0)</f>
        <v>0</v>
      </c>
      <c r="Z130" s="21"/>
      <c r="AA130" s="21"/>
      <c r="AB130" s="21"/>
      <c r="AC130" s="21"/>
      <c r="AD130" s="47" t="str">
        <f>IF(Tabela2[[#This Row],[progresso_pct]] = 100,IFERROR((Tabela2[[#This Row],[Retorno Previsto $]]-Tabela2[[#This Row],[spent_capex]])/Tabela2[[#This Row],[spent_capex]]," ")," ")</f>
        <v xml:space="preserve"> </v>
      </c>
      <c r="AE130" s="21"/>
      <c r="AF130" s="21"/>
      <c r="AG130" s="21"/>
      <c r="AH130" s="21"/>
      <c r="AI130" s="21"/>
      <c r="AJ130" s="21"/>
      <c r="AK130" s="21"/>
      <c r="AL130" s="21"/>
      <c r="AM130" s="21">
        <f>IFERROR(Tabela2[[#This Row],[Data Fim PMO]]-Tabela2[[#This Row],[Data Pedido PMO]],"")</f>
        <v>0</v>
      </c>
      <c r="AN130" s="21"/>
      <c r="AO130" s="21"/>
      <c r="AP130" s="21" t="str">
        <f>IF(Tabela2[[#This Row],[Data Fim Prototipagem2]]=0," ",IFERROR(Tabela2[[#This Row],[Data Fim Prototipagem2]]-Tabela2[[#This Row],[Data Inicio Prototipagem]],""))</f>
        <v xml:space="preserve"> </v>
      </c>
      <c r="AQ130" s="21"/>
      <c r="AR130" s="21"/>
    </row>
    <row r="131" spans="1:44" x14ac:dyDescent="0.3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2"/>
      <c r="O131" s="22"/>
      <c r="P131" s="22"/>
      <c r="Q131" s="22"/>
      <c r="R131" s="22"/>
      <c r="S131" s="22"/>
      <c r="T131" s="39"/>
      <c r="U131" s="21"/>
      <c r="V131" s="21"/>
      <c r="W131" s="50">
        <f>((Tabela2[[#This Row],[Horas economizadas anuais]] / 12) / 4)</f>
        <v>0</v>
      </c>
      <c r="X131" s="21">
        <f>(_xlfn.XLOOKUP(Tabela2[[#This Row],[setor]],dim_custo_setor_horas!A:A,dim_custo_setor_horas!B:B))*Tabela2[[#This Row],[Horas economizadas anuais]]</f>
        <v>0</v>
      </c>
      <c r="Y131" s="21">
        <f>IF(Tabela2[[#This Row],[progresso_pct]]=100,Tabela2[[#This Row],[Retorno Previsto $]],0)</f>
        <v>0</v>
      </c>
      <c r="Z131" s="21"/>
      <c r="AA131" s="21"/>
      <c r="AB131" s="21"/>
      <c r="AC131" s="21"/>
      <c r="AD131" s="47" t="str">
        <f>IF(Tabela2[[#This Row],[progresso_pct]] = 100,IFERROR((Tabela2[[#This Row],[Retorno Previsto $]]-Tabela2[[#This Row],[spent_capex]])/Tabela2[[#This Row],[spent_capex]]," ")," ")</f>
        <v xml:space="preserve"> </v>
      </c>
      <c r="AE131" s="21"/>
      <c r="AF131" s="21"/>
      <c r="AG131" s="21"/>
      <c r="AH131" s="21"/>
      <c r="AI131" s="21"/>
      <c r="AJ131" s="21"/>
      <c r="AK131" s="21"/>
      <c r="AL131" s="21"/>
      <c r="AM131" s="21">
        <f>IFERROR(Tabela2[[#This Row],[Data Fim PMO]]-Tabela2[[#This Row],[Data Pedido PMO]],"")</f>
        <v>0</v>
      </c>
      <c r="AN131" s="21"/>
      <c r="AO131" s="21"/>
      <c r="AP131" s="21" t="str">
        <f>IF(Tabela2[[#This Row],[Data Fim Prototipagem2]]=0," ",IFERROR(Tabela2[[#This Row],[Data Fim Prototipagem2]]-Tabela2[[#This Row],[Data Inicio Prototipagem]],""))</f>
        <v xml:space="preserve"> </v>
      </c>
      <c r="AQ131" s="21"/>
      <c r="AR131" s="21"/>
    </row>
    <row r="132" spans="1:44" x14ac:dyDescent="0.3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2"/>
      <c r="O132" s="22"/>
      <c r="P132" s="22"/>
      <c r="Q132" s="22"/>
      <c r="R132" s="22"/>
      <c r="S132" s="22"/>
      <c r="T132" s="39"/>
      <c r="U132" s="21"/>
      <c r="V132" s="21"/>
      <c r="W132" s="50">
        <f>((Tabela2[[#This Row],[Horas economizadas anuais]] / 12) / 4)</f>
        <v>0</v>
      </c>
      <c r="X132" s="21">
        <f>(_xlfn.XLOOKUP(Tabela2[[#This Row],[setor]],dim_custo_setor_horas!A:A,dim_custo_setor_horas!B:B))*Tabela2[[#This Row],[Horas economizadas anuais]]</f>
        <v>0</v>
      </c>
      <c r="Y132" s="21">
        <f>IF(Tabela2[[#This Row],[progresso_pct]]=100,Tabela2[[#This Row],[Retorno Previsto $]],0)</f>
        <v>0</v>
      </c>
      <c r="Z132" s="21"/>
      <c r="AA132" s="21"/>
      <c r="AB132" s="21"/>
      <c r="AC132" s="21"/>
      <c r="AD132" s="47" t="str">
        <f>IF(Tabela2[[#This Row],[progresso_pct]] = 100,IFERROR((Tabela2[[#This Row],[Retorno Previsto $]]-Tabela2[[#This Row],[spent_capex]])/Tabela2[[#This Row],[spent_capex]]," ")," ")</f>
        <v xml:space="preserve"> </v>
      </c>
      <c r="AE132" s="21"/>
      <c r="AF132" s="21"/>
      <c r="AG132" s="21"/>
      <c r="AH132" s="21"/>
      <c r="AI132" s="21"/>
      <c r="AJ132" s="21"/>
      <c r="AK132" s="21"/>
      <c r="AL132" s="21"/>
      <c r="AM132" s="21">
        <f>IFERROR(Tabela2[[#This Row],[Data Fim PMO]]-Tabela2[[#This Row],[Data Pedido PMO]],"")</f>
        <v>0</v>
      </c>
      <c r="AN132" s="21"/>
      <c r="AO132" s="21"/>
      <c r="AP132" s="21" t="str">
        <f>IF(Tabela2[[#This Row],[Data Fim Prototipagem2]]=0," ",IFERROR(Tabela2[[#This Row],[Data Fim Prototipagem2]]-Tabela2[[#This Row],[Data Inicio Prototipagem]],""))</f>
        <v xml:space="preserve"> </v>
      </c>
      <c r="AQ132" s="21"/>
      <c r="AR132" s="21"/>
    </row>
    <row r="133" spans="1:44" x14ac:dyDescent="0.3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2"/>
      <c r="O133" s="22"/>
      <c r="P133" s="22"/>
      <c r="Q133" s="22"/>
      <c r="R133" s="22"/>
      <c r="S133" s="22"/>
      <c r="T133" s="39"/>
      <c r="U133" s="21"/>
      <c r="V133" s="21"/>
      <c r="W133" s="50">
        <f>((Tabela2[[#This Row],[Horas economizadas anuais]] / 12) / 4)</f>
        <v>0</v>
      </c>
      <c r="X133" s="21">
        <f>(_xlfn.XLOOKUP(Tabela2[[#This Row],[setor]],dim_custo_setor_horas!A:A,dim_custo_setor_horas!B:B))*Tabela2[[#This Row],[Horas economizadas anuais]]</f>
        <v>0</v>
      </c>
      <c r="Y133" s="21">
        <f>IF(Tabela2[[#This Row],[progresso_pct]]=100,Tabela2[[#This Row],[Retorno Previsto $]],0)</f>
        <v>0</v>
      </c>
      <c r="Z133" s="21"/>
      <c r="AA133" s="21"/>
      <c r="AB133" s="21"/>
      <c r="AC133" s="21"/>
      <c r="AD133" s="47" t="str">
        <f>IF(Tabela2[[#This Row],[progresso_pct]] = 100,IFERROR((Tabela2[[#This Row],[Retorno Previsto $]]-Tabela2[[#This Row],[spent_capex]])/Tabela2[[#This Row],[spent_capex]]," ")," ")</f>
        <v xml:space="preserve"> </v>
      </c>
      <c r="AE133" s="21"/>
      <c r="AF133" s="21"/>
      <c r="AG133" s="21"/>
      <c r="AH133" s="21"/>
      <c r="AI133" s="21"/>
      <c r="AJ133" s="21"/>
      <c r="AK133" s="21"/>
      <c r="AL133" s="21"/>
      <c r="AM133" s="21">
        <f>IFERROR(Tabela2[[#This Row],[Data Fim PMO]]-Tabela2[[#This Row],[Data Pedido PMO]],"")</f>
        <v>0</v>
      </c>
      <c r="AN133" s="21"/>
      <c r="AO133" s="21"/>
      <c r="AP133" s="21" t="str">
        <f>IF(Tabela2[[#This Row],[Data Fim Prototipagem2]]=0," ",IFERROR(Tabela2[[#This Row],[Data Fim Prototipagem2]]-Tabela2[[#This Row],[Data Inicio Prototipagem]],""))</f>
        <v xml:space="preserve"> </v>
      </c>
      <c r="AQ133" s="21"/>
      <c r="AR133" s="21"/>
    </row>
    <row r="134" spans="1:44" x14ac:dyDescent="0.3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2"/>
      <c r="O134" s="22"/>
      <c r="P134" s="22"/>
      <c r="Q134" s="22"/>
      <c r="R134" s="22"/>
      <c r="S134" s="22"/>
      <c r="T134" s="39"/>
      <c r="U134" s="21"/>
      <c r="V134" s="21"/>
      <c r="W134" s="50">
        <f>((Tabela2[[#This Row],[Horas economizadas anuais]] / 12) / 4)</f>
        <v>0</v>
      </c>
      <c r="X134" s="21">
        <f>(_xlfn.XLOOKUP(Tabela2[[#This Row],[setor]],dim_custo_setor_horas!A:A,dim_custo_setor_horas!B:B))*Tabela2[[#This Row],[Horas economizadas anuais]]</f>
        <v>0</v>
      </c>
      <c r="Y134" s="21">
        <f>IF(Tabela2[[#This Row],[progresso_pct]]=100,Tabela2[[#This Row],[Retorno Previsto $]],0)</f>
        <v>0</v>
      </c>
      <c r="Z134" s="21"/>
      <c r="AA134" s="21"/>
      <c r="AB134" s="21"/>
      <c r="AC134" s="21"/>
      <c r="AD134" s="47" t="str">
        <f>IF(Tabela2[[#This Row],[progresso_pct]] = 100,IFERROR((Tabela2[[#This Row],[Retorno Previsto $]]-Tabela2[[#This Row],[spent_capex]])/Tabela2[[#This Row],[spent_capex]]," ")," ")</f>
        <v xml:space="preserve"> </v>
      </c>
      <c r="AE134" s="21"/>
      <c r="AF134" s="21"/>
      <c r="AG134" s="21"/>
      <c r="AH134" s="21"/>
      <c r="AI134" s="21"/>
      <c r="AJ134" s="21"/>
      <c r="AK134" s="21"/>
      <c r="AL134" s="21"/>
      <c r="AM134" s="21">
        <f>IFERROR(Tabela2[[#This Row],[Data Fim PMO]]-Tabela2[[#This Row],[Data Pedido PMO]],"")</f>
        <v>0</v>
      </c>
      <c r="AN134" s="21"/>
      <c r="AO134" s="21"/>
      <c r="AP134" s="21" t="str">
        <f>IF(Tabela2[[#This Row],[Data Fim Prototipagem2]]=0," ",IFERROR(Tabela2[[#This Row],[Data Fim Prototipagem2]]-Tabela2[[#This Row],[Data Inicio Prototipagem]],""))</f>
        <v xml:space="preserve"> </v>
      </c>
      <c r="AQ134" s="21"/>
      <c r="AR134" s="21"/>
    </row>
    <row r="135" spans="1:44" x14ac:dyDescent="0.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2"/>
      <c r="O135" s="22"/>
      <c r="P135" s="22"/>
      <c r="Q135" s="22"/>
      <c r="R135" s="22"/>
      <c r="S135" s="22"/>
      <c r="T135" s="39"/>
      <c r="U135" s="21"/>
      <c r="V135" s="21"/>
      <c r="W135" s="50">
        <f>((Tabela2[[#This Row],[Horas economizadas anuais]] / 12) / 4)</f>
        <v>0</v>
      </c>
      <c r="X135" s="21">
        <f>(_xlfn.XLOOKUP(Tabela2[[#This Row],[setor]],dim_custo_setor_horas!A:A,dim_custo_setor_horas!B:B))*Tabela2[[#This Row],[Horas economizadas anuais]]</f>
        <v>0</v>
      </c>
      <c r="Y135" s="21">
        <f>IF(Tabela2[[#This Row],[progresso_pct]]=100,Tabela2[[#This Row],[Retorno Previsto $]],0)</f>
        <v>0</v>
      </c>
      <c r="Z135" s="21"/>
      <c r="AA135" s="21"/>
      <c r="AB135" s="21"/>
      <c r="AC135" s="21"/>
      <c r="AD135" s="47" t="str">
        <f>IF(Tabela2[[#This Row],[progresso_pct]] = 100,IFERROR((Tabela2[[#This Row],[Retorno Previsto $]]-Tabela2[[#This Row],[spent_capex]])/Tabela2[[#This Row],[spent_capex]]," ")," ")</f>
        <v xml:space="preserve"> </v>
      </c>
      <c r="AE135" s="21"/>
      <c r="AF135" s="21"/>
      <c r="AG135" s="21"/>
      <c r="AH135" s="21"/>
      <c r="AI135" s="21"/>
      <c r="AJ135" s="21"/>
      <c r="AK135" s="21"/>
      <c r="AL135" s="21"/>
      <c r="AM135" s="21">
        <f>IFERROR(Tabela2[[#This Row],[Data Fim PMO]]-Tabela2[[#This Row],[Data Pedido PMO]],"")</f>
        <v>0</v>
      </c>
      <c r="AN135" s="21"/>
      <c r="AO135" s="21"/>
      <c r="AP135" s="21" t="str">
        <f>IF(Tabela2[[#This Row],[Data Fim Prototipagem2]]=0," ",IFERROR(Tabela2[[#This Row],[Data Fim Prototipagem2]]-Tabela2[[#This Row],[Data Inicio Prototipagem]],""))</f>
        <v xml:space="preserve"> </v>
      </c>
      <c r="AQ135" s="21"/>
      <c r="AR135" s="21"/>
    </row>
    <row r="136" spans="1:44" x14ac:dyDescent="0.3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2"/>
      <c r="O136" s="22"/>
      <c r="P136" s="22"/>
      <c r="Q136" s="22"/>
      <c r="R136" s="22"/>
      <c r="S136" s="22"/>
      <c r="T136" s="39"/>
      <c r="U136" s="21"/>
      <c r="V136" s="21"/>
      <c r="W136" s="50">
        <f>((Tabela2[[#This Row],[Horas economizadas anuais]] / 12) / 4)</f>
        <v>0</v>
      </c>
      <c r="X136" s="21">
        <f>(_xlfn.XLOOKUP(Tabela2[[#This Row],[setor]],dim_custo_setor_horas!A:A,dim_custo_setor_horas!B:B))*Tabela2[[#This Row],[Horas economizadas anuais]]</f>
        <v>0</v>
      </c>
      <c r="Y136" s="21">
        <f>IF(Tabela2[[#This Row],[progresso_pct]]=100,Tabela2[[#This Row],[Retorno Previsto $]],0)</f>
        <v>0</v>
      </c>
      <c r="Z136" s="21"/>
      <c r="AA136" s="21"/>
      <c r="AB136" s="21"/>
      <c r="AC136" s="21"/>
      <c r="AD136" s="47" t="str">
        <f>IF(Tabela2[[#This Row],[progresso_pct]] = 100,IFERROR((Tabela2[[#This Row],[Retorno Previsto $]]-Tabela2[[#This Row],[spent_capex]])/Tabela2[[#This Row],[spent_capex]]," ")," ")</f>
        <v xml:space="preserve"> </v>
      </c>
      <c r="AE136" s="21"/>
      <c r="AF136" s="21"/>
      <c r="AG136" s="21"/>
      <c r="AH136" s="21"/>
      <c r="AI136" s="21"/>
      <c r="AJ136" s="21"/>
      <c r="AK136" s="21"/>
      <c r="AL136" s="21"/>
      <c r="AM136" s="21">
        <f>IFERROR(Tabela2[[#This Row],[Data Fim PMO]]-Tabela2[[#This Row],[Data Pedido PMO]],"")</f>
        <v>0</v>
      </c>
      <c r="AN136" s="21"/>
      <c r="AO136" s="21"/>
      <c r="AP136" s="21" t="str">
        <f>IF(Tabela2[[#This Row],[Data Fim Prototipagem2]]=0," ",IFERROR(Tabela2[[#This Row],[Data Fim Prototipagem2]]-Tabela2[[#This Row],[Data Inicio Prototipagem]],""))</f>
        <v xml:space="preserve"> </v>
      </c>
      <c r="AQ136" s="21"/>
      <c r="AR136" s="21"/>
    </row>
    <row r="137" spans="1:44" x14ac:dyDescent="0.3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2"/>
      <c r="O137" s="22"/>
      <c r="P137" s="22"/>
      <c r="Q137" s="22"/>
      <c r="R137" s="22"/>
      <c r="S137" s="22"/>
      <c r="T137" s="39"/>
      <c r="U137" s="21"/>
      <c r="V137" s="21"/>
      <c r="W137" s="50">
        <f>((Tabela2[[#This Row],[Horas economizadas anuais]] / 12) / 4)</f>
        <v>0</v>
      </c>
      <c r="X137" s="21">
        <f>(_xlfn.XLOOKUP(Tabela2[[#This Row],[setor]],dim_custo_setor_horas!A:A,dim_custo_setor_horas!B:B))*Tabela2[[#This Row],[Horas economizadas anuais]]</f>
        <v>0</v>
      </c>
      <c r="Y137" s="21">
        <f>IF(Tabela2[[#This Row],[progresso_pct]]=100,Tabela2[[#This Row],[Retorno Previsto $]],0)</f>
        <v>0</v>
      </c>
      <c r="Z137" s="21"/>
      <c r="AA137" s="21"/>
      <c r="AB137" s="21"/>
      <c r="AC137" s="21"/>
      <c r="AD137" s="47" t="str">
        <f>IF(Tabela2[[#This Row],[progresso_pct]] = 100,IFERROR((Tabela2[[#This Row],[Retorno Previsto $]]-Tabela2[[#This Row],[spent_capex]])/Tabela2[[#This Row],[spent_capex]]," ")," ")</f>
        <v xml:space="preserve"> </v>
      </c>
      <c r="AE137" s="21"/>
      <c r="AF137" s="21"/>
      <c r="AG137" s="21"/>
      <c r="AH137" s="21"/>
      <c r="AI137" s="21"/>
      <c r="AJ137" s="21"/>
      <c r="AK137" s="21"/>
      <c r="AL137" s="21"/>
      <c r="AM137" s="21">
        <f>IFERROR(Tabela2[[#This Row],[Data Fim PMO]]-Tabela2[[#This Row],[Data Pedido PMO]],"")</f>
        <v>0</v>
      </c>
      <c r="AN137" s="21"/>
      <c r="AO137" s="21"/>
      <c r="AP137" s="21" t="str">
        <f>IF(Tabela2[[#This Row],[Data Fim Prototipagem2]]=0," ",IFERROR(Tabela2[[#This Row],[Data Fim Prototipagem2]]-Tabela2[[#This Row],[Data Inicio Prototipagem]],""))</f>
        <v xml:space="preserve"> </v>
      </c>
      <c r="AQ137" s="21"/>
      <c r="AR137" s="21"/>
    </row>
    <row r="138" spans="1:44" x14ac:dyDescent="0.3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2"/>
      <c r="O138" s="22"/>
      <c r="P138" s="22"/>
      <c r="Q138" s="22"/>
      <c r="R138" s="22"/>
      <c r="S138" s="22"/>
      <c r="T138" s="39"/>
      <c r="U138" s="21"/>
      <c r="V138" s="21"/>
      <c r="W138" s="50">
        <f>((Tabela2[[#This Row],[Horas economizadas anuais]] / 12) / 4)</f>
        <v>0</v>
      </c>
      <c r="X138" s="21">
        <f>(_xlfn.XLOOKUP(Tabela2[[#This Row],[setor]],dim_custo_setor_horas!A:A,dim_custo_setor_horas!B:B))*Tabela2[[#This Row],[Horas economizadas anuais]]</f>
        <v>0</v>
      </c>
      <c r="Y138" s="21">
        <f>IF(Tabela2[[#This Row],[progresso_pct]]=100,Tabela2[[#This Row],[Retorno Previsto $]],0)</f>
        <v>0</v>
      </c>
      <c r="Z138" s="21"/>
      <c r="AA138" s="21"/>
      <c r="AB138" s="21"/>
      <c r="AC138" s="21"/>
      <c r="AD138" s="47" t="str">
        <f>IF(Tabela2[[#This Row],[progresso_pct]] = 100,IFERROR((Tabela2[[#This Row],[Retorno Previsto $]]-Tabela2[[#This Row],[spent_capex]])/Tabela2[[#This Row],[spent_capex]]," ")," ")</f>
        <v xml:space="preserve"> </v>
      </c>
      <c r="AE138" s="21"/>
      <c r="AF138" s="21"/>
      <c r="AG138" s="21"/>
      <c r="AH138" s="21"/>
      <c r="AI138" s="21"/>
      <c r="AJ138" s="21"/>
      <c r="AK138" s="21"/>
      <c r="AL138" s="21"/>
      <c r="AM138" s="21">
        <f>IFERROR(Tabela2[[#This Row],[Data Fim PMO]]-Tabela2[[#This Row],[Data Pedido PMO]],"")</f>
        <v>0</v>
      </c>
      <c r="AN138" s="21"/>
      <c r="AO138" s="21"/>
      <c r="AP138" s="21" t="str">
        <f>IF(Tabela2[[#This Row],[Data Fim Prototipagem2]]=0," ",IFERROR(Tabela2[[#This Row],[Data Fim Prototipagem2]]-Tabela2[[#This Row],[Data Inicio Prototipagem]],""))</f>
        <v xml:space="preserve"> </v>
      </c>
      <c r="AQ138" s="21"/>
      <c r="AR138" s="21"/>
    </row>
    <row r="139" spans="1:44" x14ac:dyDescent="0.3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2"/>
      <c r="O139" s="22"/>
      <c r="P139" s="22"/>
      <c r="Q139" s="22"/>
      <c r="R139" s="22"/>
      <c r="S139" s="22"/>
      <c r="T139" s="39"/>
      <c r="U139" s="21"/>
      <c r="V139" s="21"/>
      <c r="W139" s="50">
        <f>((Tabela2[[#This Row],[Horas economizadas anuais]] / 12) / 4)</f>
        <v>0</v>
      </c>
      <c r="X139" s="21">
        <f>(_xlfn.XLOOKUP(Tabela2[[#This Row],[setor]],dim_custo_setor_horas!A:A,dim_custo_setor_horas!B:B))*Tabela2[[#This Row],[Horas economizadas anuais]]</f>
        <v>0</v>
      </c>
      <c r="Y139" s="21">
        <f>IF(Tabela2[[#This Row],[progresso_pct]]=100,Tabela2[[#This Row],[Retorno Previsto $]],0)</f>
        <v>0</v>
      </c>
      <c r="Z139" s="21"/>
      <c r="AA139" s="21"/>
      <c r="AB139" s="21"/>
      <c r="AC139" s="21"/>
      <c r="AD139" s="47" t="str">
        <f>IF(Tabela2[[#This Row],[progresso_pct]] = 100,IFERROR((Tabela2[[#This Row],[Retorno Previsto $]]-Tabela2[[#This Row],[spent_capex]])/Tabela2[[#This Row],[spent_capex]]," ")," ")</f>
        <v xml:space="preserve"> </v>
      </c>
      <c r="AE139" s="21"/>
      <c r="AF139" s="21"/>
      <c r="AG139" s="21"/>
      <c r="AH139" s="21"/>
      <c r="AI139" s="21"/>
      <c r="AJ139" s="21"/>
      <c r="AK139" s="21"/>
      <c r="AL139" s="21"/>
      <c r="AM139" s="21">
        <f>IFERROR(Tabela2[[#This Row],[Data Fim PMO]]-Tabela2[[#This Row],[Data Pedido PMO]],"")</f>
        <v>0</v>
      </c>
      <c r="AN139" s="21"/>
      <c r="AO139" s="21"/>
      <c r="AP139" s="21" t="str">
        <f>IF(Tabela2[[#This Row],[Data Fim Prototipagem2]]=0," ",IFERROR(Tabela2[[#This Row],[Data Fim Prototipagem2]]-Tabela2[[#This Row],[Data Inicio Prototipagem]],""))</f>
        <v xml:space="preserve"> </v>
      </c>
      <c r="AQ139" s="21"/>
      <c r="AR139" s="21"/>
    </row>
    <row r="140" spans="1:44" x14ac:dyDescent="0.3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2"/>
      <c r="O140" s="22"/>
      <c r="P140" s="22"/>
      <c r="Q140" s="22"/>
      <c r="R140" s="22"/>
      <c r="S140" s="22"/>
      <c r="T140" s="39"/>
      <c r="U140" s="21"/>
      <c r="V140" s="21"/>
      <c r="W140" s="50">
        <f>((Tabela2[[#This Row],[Horas economizadas anuais]] / 12) / 4)</f>
        <v>0</v>
      </c>
      <c r="X140" s="21">
        <f>(_xlfn.XLOOKUP(Tabela2[[#This Row],[setor]],dim_custo_setor_horas!A:A,dim_custo_setor_horas!B:B))*Tabela2[[#This Row],[Horas economizadas anuais]]</f>
        <v>0</v>
      </c>
      <c r="Y140" s="21">
        <f>IF(Tabela2[[#This Row],[progresso_pct]]=100,Tabela2[[#This Row],[Retorno Previsto $]],0)</f>
        <v>0</v>
      </c>
      <c r="Z140" s="21"/>
      <c r="AA140" s="21"/>
      <c r="AB140" s="21"/>
      <c r="AC140" s="21"/>
      <c r="AD140" s="47" t="str">
        <f>IF(Tabela2[[#This Row],[progresso_pct]] = 100,IFERROR((Tabela2[[#This Row],[Retorno Previsto $]]-Tabela2[[#This Row],[spent_capex]])/Tabela2[[#This Row],[spent_capex]]," ")," ")</f>
        <v xml:space="preserve"> </v>
      </c>
      <c r="AE140" s="21"/>
      <c r="AF140" s="21"/>
      <c r="AG140" s="21"/>
      <c r="AH140" s="21"/>
      <c r="AI140" s="21"/>
      <c r="AJ140" s="21"/>
      <c r="AK140" s="21"/>
      <c r="AL140" s="21"/>
      <c r="AM140" s="21">
        <f>IFERROR(Tabela2[[#This Row],[Data Fim PMO]]-Tabela2[[#This Row],[Data Pedido PMO]],"")</f>
        <v>0</v>
      </c>
      <c r="AN140" s="21"/>
      <c r="AO140" s="21"/>
      <c r="AP140" s="21" t="str">
        <f>IF(Tabela2[[#This Row],[Data Fim Prototipagem2]]=0," ",IFERROR(Tabela2[[#This Row],[Data Fim Prototipagem2]]-Tabela2[[#This Row],[Data Inicio Prototipagem]],""))</f>
        <v xml:space="preserve"> </v>
      </c>
      <c r="AQ140" s="21"/>
      <c r="AR140" s="21"/>
    </row>
    <row r="141" spans="1:44" x14ac:dyDescent="0.3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2"/>
      <c r="O141" s="22"/>
      <c r="P141" s="22"/>
      <c r="Q141" s="22"/>
      <c r="R141" s="22"/>
      <c r="S141" s="22"/>
      <c r="T141" s="39"/>
      <c r="U141" s="21"/>
      <c r="V141" s="21"/>
      <c r="W141" s="50">
        <f>((Tabela2[[#This Row],[Horas economizadas anuais]] / 12) / 4)</f>
        <v>0</v>
      </c>
      <c r="X141" s="21">
        <f>(_xlfn.XLOOKUP(Tabela2[[#This Row],[setor]],dim_custo_setor_horas!A:A,dim_custo_setor_horas!B:B))*Tabela2[[#This Row],[Horas economizadas anuais]]</f>
        <v>0</v>
      </c>
      <c r="Y141" s="21">
        <f>IF(Tabela2[[#This Row],[progresso_pct]]=100,Tabela2[[#This Row],[Retorno Previsto $]],0)</f>
        <v>0</v>
      </c>
      <c r="Z141" s="21"/>
      <c r="AA141" s="21"/>
      <c r="AB141" s="21"/>
      <c r="AC141" s="21"/>
      <c r="AD141" s="47" t="str">
        <f>IF(Tabela2[[#This Row],[progresso_pct]] = 100,IFERROR((Tabela2[[#This Row],[Retorno Previsto $]]-Tabela2[[#This Row],[spent_capex]])/Tabela2[[#This Row],[spent_capex]]," ")," ")</f>
        <v xml:space="preserve"> </v>
      </c>
      <c r="AE141" s="21"/>
      <c r="AF141" s="21"/>
      <c r="AG141" s="21"/>
      <c r="AH141" s="21"/>
      <c r="AI141" s="21"/>
      <c r="AJ141" s="21"/>
      <c r="AK141" s="21"/>
      <c r="AL141" s="21"/>
      <c r="AM141" s="21">
        <f>IFERROR(Tabela2[[#This Row],[Data Fim PMO]]-Tabela2[[#This Row],[Data Pedido PMO]],"")</f>
        <v>0</v>
      </c>
      <c r="AN141" s="21"/>
      <c r="AO141" s="21"/>
      <c r="AP141" s="21" t="str">
        <f>IF(Tabela2[[#This Row],[Data Fim Prototipagem2]]=0," ",IFERROR(Tabela2[[#This Row],[Data Fim Prototipagem2]]-Tabela2[[#This Row],[Data Inicio Prototipagem]],""))</f>
        <v xml:space="preserve"> </v>
      </c>
      <c r="AQ141" s="21"/>
      <c r="AR141" s="21"/>
    </row>
    <row r="142" spans="1:44" x14ac:dyDescent="0.3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2"/>
      <c r="O142" s="22"/>
      <c r="P142" s="22"/>
      <c r="Q142" s="22"/>
      <c r="R142" s="22"/>
      <c r="S142" s="22"/>
      <c r="T142" s="39"/>
      <c r="U142" s="21"/>
      <c r="V142" s="21"/>
      <c r="W142" s="50">
        <f>((Tabela2[[#This Row],[Horas economizadas anuais]] / 12) / 4)</f>
        <v>0</v>
      </c>
      <c r="X142" s="21">
        <f>(_xlfn.XLOOKUP(Tabela2[[#This Row],[setor]],dim_custo_setor_horas!A:A,dim_custo_setor_horas!B:B))*Tabela2[[#This Row],[Horas economizadas anuais]]</f>
        <v>0</v>
      </c>
      <c r="Y142" s="21">
        <f>IF(Tabela2[[#This Row],[progresso_pct]]=100,Tabela2[[#This Row],[Retorno Previsto $]],0)</f>
        <v>0</v>
      </c>
      <c r="Z142" s="21"/>
      <c r="AA142" s="21"/>
      <c r="AB142" s="21"/>
      <c r="AC142" s="21"/>
      <c r="AD142" s="47" t="str">
        <f>IF(Tabela2[[#This Row],[progresso_pct]] = 100,IFERROR((Tabela2[[#This Row],[Retorno Previsto $]]-Tabela2[[#This Row],[spent_capex]])/Tabela2[[#This Row],[spent_capex]]," ")," ")</f>
        <v xml:space="preserve"> </v>
      </c>
      <c r="AE142" s="21"/>
      <c r="AF142" s="21"/>
      <c r="AG142" s="21"/>
      <c r="AH142" s="21"/>
      <c r="AI142" s="21"/>
      <c r="AJ142" s="21"/>
      <c r="AK142" s="21"/>
      <c r="AL142" s="21"/>
      <c r="AM142" s="21">
        <f>IFERROR(Tabela2[[#This Row],[Data Fim PMO]]-Tabela2[[#This Row],[Data Pedido PMO]],"")</f>
        <v>0</v>
      </c>
      <c r="AN142" s="21"/>
      <c r="AO142" s="21"/>
      <c r="AP142" s="21" t="str">
        <f>IF(Tabela2[[#This Row],[Data Fim Prototipagem2]]=0," ",IFERROR(Tabela2[[#This Row],[Data Fim Prototipagem2]]-Tabela2[[#This Row],[Data Inicio Prototipagem]],""))</f>
        <v xml:space="preserve"> </v>
      </c>
      <c r="AQ142" s="21"/>
      <c r="AR142" s="21"/>
    </row>
    <row r="143" spans="1:44" x14ac:dyDescent="0.3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2"/>
      <c r="O143" s="22"/>
      <c r="P143" s="22"/>
      <c r="Q143" s="22"/>
      <c r="R143" s="22"/>
      <c r="S143" s="22"/>
      <c r="T143" s="39"/>
      <c r="U143" s="21"/>
      <c r="V143" s="21"/>
      <c r="W143" s="50">
        <f>((Tabela2[[#This Row],[Horas economizadas anuais]] / 12) / 4)</f>
        <v>0</v>
      </c>
      <c r="X143" s="21">
        <f>(_xlfn.XLOOKUP(Tabela2[[#This Row],[setor]],dim_custo_setor_horas!A:A,dim_custo_setor_horas!B:B))*Tabela2[[#This Row],[Horas economizadas anuais]]</f>
        <v>0</v>
      </c>
      <c r="Y143" s="21">
        <f>IF(Tabela2[[#This Row],[progresso_pct]]=100,Tabela2[[#This Row],[Retorno Previsto $]],0)</f>
        <v>0</v>
      </c>
      <c r="Z143" s="21"/>
      <c r="AA143" s="21"/>
      <c r="AB143" s="21"/>
      <c r="AC143" s="21"/>
      <c r="AD143" s="47" t="str">
        <f>IF(Tabela2[[#This Row],[progresso_pct]] = 100,IFERROR((Tabela2[[#This Row],[Retorno Previsto $]]-Tabela2[[#This Row],[spent_capex]])/Tabela2[[#This Row],[spent_capex]]," ")," ")</f>
        <v xml:space="preserve"> </v>
      </c>
      <c r="AE143" s="21"/>
      <c r="AF143" s="21"/>
      <c r="AG143" s="21"/>
      <c r="AH143" s="21"/>
      <c r="AI143" s="21"/>
      <c r="AJ143" s="21"/>
      <c r="AK143" s="21"/>
      <c r="AL143" s="21"/>
      <c r="AM143" s="21">
        <f>IFERROR(Tabela2[[#This Row],[Data Fim PMO]]-Tabela2[[#This Row],[Data Pedido PMO]],"")</f>
        <v>0</v>
      </c>
      <c r="AN143" s="21"/>
      <c r="AO143" s="21"/>
      <c r="AP143" s="21" t="str">
        <f>IF(Tabela2[[#This Row],[Data Fim Prototipagem2]]=0," ",IFERROR(Tabela2[[#This Row],[Data Fim Prototipagem2]]-Tabela2[[#This Row],[Data Inicio Prototipagem]],""))</f>
        <v xml:space="preserve"> </v>
      </c>
      <c r="AQ143" s="21"/>
      <c r="AR143" s="21"/>
    </row>
    <row r="144" spans="1:44" x14ac:dyDescent="0.3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2"/>
      <c r="O144" s="22"/>
      <c r="P144" s="22"/>
      <c r="Q144" s="22"/>
      <c r="R144" s="22"/>
      <c r="S144" s="22"/>
      <c r="T144" s="39"/>
      <c r="U144" s="21"/>
      <c r="V144" s="21"/>
      <c r="W144" s="50">
        <f>((Tabela2[[#This Row],[Horas economizadas anuais]] / 12) / 4)</f>
        <v>0</v>
      </c>
      <c r="X144" s="21">
        <f>(_xlfn.XLOOKUP(Tabela2[[#This Row],[setor]],dim_custo_setor_horas!A:A,dim_custo_setor_horas!B:B))*Tabela2[[#This Row],[Horas economizadas anuais]]</f>
        <v>0</v>
      </c>
      <c r="Y144" s="21">
        <f>IF(Tabela2[[#This Row],[progresso_pct]]=100,Tabela2[[#This Row],[Retorno Previsto $]],0)</f>
        <v>0</v>
      </c>
      <c r="Z144" s="21"/>
      <c r="AA144" s="21"/>
      <c r="AB144" s="21"/>
      <c r="AC144" s="21"/>
      <c r="AD144" s="47" t="str">
        <f>IF(Tabela2[[#This Row],[progresso_pct]] = 100,IFERROR((Tabela2[[#This Row],[Retorno Previsto $]]-Tabela2[[#This Row],[spent_capex]])/Tabela2[[#This Row],[spent_capex]]," ")," ")</f>
        <v xml:space="preserve"> </v>
      </c>
      <c r="AE144" s="21"/>
      <c r="AF144" s="21"/>
      <c r="AG144" s="21"/>
      <c r="AH144" s="21"/>
      <c r="AI144" s="21"/>
      <c r="AJ144" s="21"/>
      <c r="AK144" s="21"/>
      <c r="AL144" s="21"/>
      <c r="AM144" s="21">
        <f>IFERROR(Tabela2[[#This Row],[Data Fim PMO]]-Tabela2[[#This Row],[Data Pedido PMO]],"")</f>
        <v>0</v>
      </c>
      <c r="AN144" s="21"/>
      <c r="AO144" s="21"/>
      <c r="AP144" s="21" t="str">
        <f>IF(Tabela2[[#This Row],[Data Fim Prototipagem2]]=0," ",IFERROR(Tabela2[[#This Row],[Data Fim Prototipagem2]]-Tabela2[[#This Row],[Data Inicio Prototipagem]],""))</f>
        <v xml:space="preserve"> </v>
      </c>
      <c r="AQ144" s="21"/>
      <c r="AR144" s="21"/>
    </row>
    <row r="145" spans="1:44" x14ac:dyDescent="0.3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2"/>
      <c r="O145" s="22"/>
      <c r="P145" s="22"/>
      <c r="Q145" s="22"/>
      <c r="R145" s="22"/>
      <c r="S145" s="22"/>
      <c r="T145" s="39"/>
      <c r="U145" s="21"/>
      <c r="V145" s="21"/>
      <c r="W145" s="50">
        <f>((Tabela2[[#This Row],[Horas economizadas anuais]] / 12) / 4)</f>
        <v>0</v>
      </c>
      <c r="X145" s="21">
        <f>(_xlfn.XLOOKUP(Tabela2[[#This Row],[setor]],dim_custo_setor_horas!A:A,dim_custo_setor_horas!B:B))*Tabela2[[#This Row],[Horas economizadas anuais]]</f>
        <v>0</v>
      </c>
      <c r="Y145" s="21">
        <f>IF(Tabela2[[#This Row],[progresso_pct]]=100,Tabela2[[#This Row],[Retorno Previsto $]],0)</f>
        <v>0</v>
      </c>
      <c r="Z145" s="21"/>
      <c r="AA145" s="21"/>
      <c r="AB145" s="21"/>
      <c r="AC145" s="21"/>
      <c r="AD145" s="47" t="str">
        <f>IF(Tabela2[[#This Row],[progresso_pct]] = 100,IFERROR((Tabela2[[#This Row],[Retorno Previsto $]]-Tabela2[[#This Row],[spent_capex]])/Tabela2[[#This Row],[spent_capex]]," ")," ")</f>
        <v xml:space="preserve"> </v>
      </c>
      <c r="AE145" s="21"/>
      <c r="AF145" s="21"/>
      <c r="AG145" s="21"/>
      <c r="AH145" s="21"/>
      <c r="AI145" s="21"/>
      <c r="AJ145" s="21"/>
      <c r="AK145" s="21"/>
      <c r="AL145" s="21"/>
      <c r="AM145" s="21">
        <f>IFERROR(Tabela2[[#This Row],[Data Fim PMO]]-Tabela2[[#This Row],[Data Pedido PMO]],"")</f>
        <v>0</v>
      </c>
      <c r="AN145" s="21"/>
      <c r="AO145" s="21"/>
      <c r="AP145" s="21" t="str">
        <f>IF(Tabela2[[#This Row],[Data Fim Prototipagem2]]=0," ",IFERROR(Tabela2[[#This Row],[Data Fim Prototipagem2]]-Tabela2[[#This Row],[Data Inicio Prototipagem]],""))</f>
        <v xml:space="preserve"> </v>
      </c>
      <c r="AQ145" s="21"/>
      <c r="AR145" s="21"/>
    </row>
    <row r="146" spans="1:44" x14ac:dyDescent="0.3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2"/>
      <c r="O146" s="22"/>
      <c r="P146" s="22"/>
      <c r="Q146" s="22"/>
      <c r="R146" s="22"/>
      <c r="S146" s="22"/>
      <c r="T146" s="39"/>
      <c r="U146" s="21"/>
      <c r="V146" s="21"/>
      <c r="W146" s="50">
        <f>((Tabela2[[#This Row],[Horas economizadas anuais]] / 12) / 4)</f>
        <v>0</v>
      </c>
      <c r="X146" s="21">
        <f>(_xlfn.XLOOKUP(Tabela2[[#This Row],[setor]],dim_custo_setor_horas!A:A,dim_custo_setor_horas!B:B))*Tabela2[[#This Row],[Horas economizadas anuais]]</f>
        <v>0</v>
      </c>
      <c r="Y146" s="21">
        <f>IF(Tabela2[[#This Row],[progresso_pct]]=100,Tabela2[[#This Row],[Retorno Previsto $]],0)</f>
        <v>0</v>
      </c>
      <c r="Z146" s="21"/>
      <c r="AA146" s="21"/>
      <c r="AB146" s="21"/>
      <c r="AC146" s="21"/>
      <c r="AD146" s="47" t="str">
        <f>IF(Tabela2[[#This Row],[progresso_pct]] = 100,IFERROR((Tabela2[[#This Row],[Retorno Previsto $]]-Tabela2[[#This Row],[spent_capex]])/Tabela2[[#This Row],[spent_capex]]," ")," ")</f>
        <v xml:space="preserve"> </v>
      </c>
      <c r="AE146" s="21"/>
      <c r="AF146" s="21"/>
      <c r="AG146" s="21"/>
      <c r="AH146" s="21"/>
      <c r="AI146" s="21"/>
      <c r="AJ146" s="21"/>
      <c r="AK146" s="21"/>
      <c r="AL146" s="21"/>
      <c r="AM146" s="21">
        <f>IFERROR(Tabela2[[#This Row],[Data Fim PMO]]-Tabela2[[#This Row],[Data Pedido PMO]],"")</f>
        <v>0</v>
      </c>
      <c r="AN146" s="21"/>
      <c r="AO146" s="21"/>
      <c r="AP146" s="21" t="str">
        <f>IF(Tabela2[[#This Row],[Data Fim Prototipagem2]]=0," ",IFERROR(Tabela2[[#This Row],[Data Fim Prototipagem2]]-Tabela2[[#This Row],[Data Inicio Prototipagem]],""))</f>
        <v xml:space="preserve"> </v>
      </c>
      <c r="AQ146" s="21"/>
      <c r="AR146" s="21"/>
    </row>
    <row r="147" spans="1:44" x14ac:dyDescent="0.3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2"/>
      <c r="O147" s="22"/>
      <c r="P147" s="22"/>
      <c r="Q147" s="22"/>
      <c r="R147" s="22"/>
      <c r="S147" s="22"/>
      <c r="T147" s="39"/>
      <c r="U147" s="21"/>
      <c r="V147" s="21"/>
      <c r="W147" s="50">
        <f>((Tabela2[[#This Row],[Horas economizadas anuais]] / 12) / 4)</f>
        <v>0</v>
      </c>
      <c r="X147" s="21">
        <f>(_xlfn.XLOOKUP(Tabela2[[#This Row],[setor]],dim_custo_setor_horas!A:A,dim_custo_setor_horas!B:B))*Tabela2[[#This Row],[Horas economizadas anuais]]</f>
        <v>0</v>
      </c>
      <c r="Y147" s="21">
        <f>IF(Tabela2[[#This Row],[progresso_pct]]=100,Tabela2[[#This Row],[Retorno Previsto $]],0)</f>
        <v>0</v>
      </c>
      <c r="Z147" s="21"/>
      <c r="AA147" s="21"/>
      <c r="AB147" s="21"/>
      <c r="AC147" s="21"/>
      <c r="AD147" s="47" t="str">
        <f>IF(Tabela2[[#This Row],[progresso_pct]] = 100,IFERROR((Tabela2[[#This Row],[Retorno Previsto $]]-Tabela2[[#This Row],[spent_capex]])/Tabela2[[#This Row],[spent_capex]]," ")," ")</f>
        <v xml:space="preserve"> </v>
      </c>
      <c r="AE147" s="21"/>
      <c r="AF147" s="21"/>
      <c r="AG147" s="21"/>
      <c r="AH147" s="21"/>
      <c r="AI147" s="21"/>
      <c r="AJ147" s="21"/>
      <c r="AK147" s="21"/>
      <c r="AL147" s="21"/>
      <c r="AM147" s="21">
        <f>IFERROR(Tabela2[[#This Row],[Data Fim PMO]]-Tabela2[[#This Row],[Data Pedido PMO]],"")</f>
        <v>0</v>
      </c>
      <c r="AN147" s="21"/>
      <c r="AO147" s="21"/>
      <c r="AP147" s="21" t="str">
        <f>IF(Tabela2[[#This Row],[Data Fim Prototipagem2]]=0," ",IFERROR(Tabela2[[#This Row],[Data Fim Prototipagem2]]-Tabela2[[#This Row],[Data Inicio Prototipagem]],""))</f>
        <v xml:space="preserve"> </v>
      </c>
      <c r="AQ147" s="21"/>
      <c r="AR147" s="21"/>
    </row>
    <row r="148" spans="1:44" x14ac:dyDescent="0.3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2"/>
      <c r="O148" s="22"/>
      <c r="P148" s="22"/>
      <c r="Q148" s="22"/>
      <c r="R148" s="22"/>
      <c r="S148" s="22"/>
      <c r="T148" s="39"/>
      <c r="U148" s="21"/>
      <c r="V148" s="21"/>
      <c r="W148" s="50">
        <f>((Tabela2[[#This Row],[Horas economizadas anuais]] / 12) / 4)</f>
        <v>0</v>
      </c>
      <c r="X148" s="21">
        <f>(_xlfn.XLOOKUP(Tabela2[[#This Row],[setor]],dim_custo_setor_horas!A:A,dim_custo_setor_horas!B:B))*Tabela2[[#This Row],[Horas economizadas anuais]]</f>
        <v>0</v>
      </c>
      <c r="Y148" s="21">
        <f>IF(Tabela2[[#This Row],[progresso_pct]]=100,Tabela2[[#This Row],[Retorno Previsto $]],0)</f>
        <v>0</v>
      </c>
      <c r="Z148" s="21"/>
      <c r="AA148" s="21"/>
      <c r="AB148" s="21"/>
      <c r="AC148" s="21"/>
      <c r="AD148" s="47" t="str">
        <f>IF(Tabela2[[#This Row],[progresso_pct]] = 100,IFERROR((Tabela2[[#This Row],[Retorno Previsto $]]-Tabela2[[#This Row],[spent_capex]])/Tabela2[[#This Row],[spent_capex]]," ")," ")</f>
        <v xml:space="preserve"> </v>
      </c>
      <c r="AE148" s="21"/>
      <c r="AF148" s="21"/>
      <c r="AG148" s="21"/>
      <c r="AH148" s="21"/>
      <c r="AI148" s="21"/>
      <c r="AJ148" s="21"/>
      <c r="AK148" s="21"/>
      <c r="AL148" s="21"/>
      <c r="AM148" s="21">
        <f>IFERROR(Tabela2[[#This Row],[Data Fim PMO]]-Tabela2[[#This Row],[Data Pedido PMO]],"")</f>
        <v>0</v>
      </c>
      <c r="AN148" s="21"/>
      <c r="AO148" s="21"/>
      <c r="AP148" s="21" t="str">
        <f>IF(Tabela2[[#This Row],[Data Fim Prototipagem2]]=0," ",IFERROR(Tabela2[[#This Row],[Data Fim Prototipagem2]]-Tabela2[[#This Row],[Data Inicio Prototipagem]],""))</f>
        <v xml:space="preserve"> </v>
      </c>
      <c r="AQ148" s="21"/>
      <c r="AR148" s="21"/>
    </row>
    <row r="149" spans="1:44" x14ac:dyDescent="0.3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2"/>
      <c r="O149" s="22"/>
      <c r="P149" s="22"/>
      <c r="Q149" s="22"/>
      <c r="R149" s="22"/>
      <c r="S149" s="22"/>
      <c r="T149" s="39"/>
      <c r="U149" s="21"/>
      <c r="V149" s="21"/>
      <c r="W149" s="50">
        <f>((Tabela2[[#This Row],[Horas economizadas anuais]] / 12) / 4)</f>
        <v>0</v>
      </c>
      <c r="X149" s="21">
        <f>(_xlfn.XLOOKUP(Tabela2[[#This Row],[setor]],dim_custo_setor_horas!A:A,dim_custo_setor_horas!B:B))*Tabela2[[#This Row],[Horas economizadas anuais]]</f>
        <v>0</v>
      </c>
      <c r="Y149" s="21">
        <f>IF(Tabela2[[#This Row],[progresso_pct]]=100,Tabela2[[#This Row],[Retorno Previsto $]],0)</f>
        <v>0</v>
      </c>
      <c r="Z149" s="21"/>
      <c r="AA149" s="21"/>
      <c r="AB149" s="21"/>
      <c r="AC149" s="21"/>
      <c r="AD149" s="47" t="str">
        <f>IF(Tabela2[[#This Row],[progresso_pct]] = 100,IFERROR((Tabela2[[#This Row],[Retorno Previsto $]]-Tabela2[[#This Row],[spent_capex]])/Tabela2[[#This Row],[spent_capex]]," ")," ")</f>
        <v xml:space="preserve"> </v>
      </c>
      <c r="AE149" s="21"/>
      <c r="AF149" s="21"/>
      <c r="AG149" s="21"/>
      <c r="AH149" s="21"/>
      <c r="AI149" s="21"/>
      <c r="AJ149" s="21"/>
      <c r="AK149" s="21"/>
      <c r="AL149" s="21"/>
      <c r="AM149" s="21">
        <f>IFERROR(Tabela2[[#This Row],[Data Fim PMO]]-Tabela2[[#This Row],[Data Pedido PMO]],"")</f>
        <v>0</v>
      </c>
      <c r="AN149" s="21"/>
      <c r="AO149" s="21"/>
      <c r="AP149" s="21" t="str">
        <f>IF(Tabela2[[#This Row],[Data Fim Prototipagem2]]=0," ",IFERROR(Tabela2[[#This Row],[Data Fim Prototipagem2]]-Tabela2[[#This Row],[Data Inicio Prototipagem]],""))</f>
        <v xml:space="preserve"> </v>
      </c>
      <c r="AQ149" s="21"/>
      <c r="AR149" s="21"/>
    </row>
    <row r="150" spans="1:44" x14ac:dyDescent="0.3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2"/>
      <c r="O150" s="22"/>
      <c r="P150" s="22"/>
      <c r="Q150" s="22"/>
      <c r="R150" s="22"/>
      <c r="S150" s="22"/>
      <c r="T150" s="39"/>
      <c r="U150" s="21"/>
      <c r="V150" s="21"/>
      <c r="W150" s="50">
        <f>((Tabela2[[#This Row],[Horas economizadas anuais]] / 12) / 4)</f>
        <v>0</v>
      </c>
      <c r="X150" s="21">
        <f>(_xlfn.XLOOKUP(Tabela2[[#This Row],[setor]],dim_custo_setor_horas!A:A,dim_custo_setor_horas!B:B))*Tabela2[[#This Row],[Horas economizadas anuais]]</f>
        <v>0</v>
      </c>
      <c r="Y150" s="21">
        <f>IF(Tabela2[[#This Row],[progresso_pct]]=100,Tabela2[[#This Row],[Retorno Previsto $]],0)</f>
        <v>0</v>
      </c>
      <c r="Z150" s="21"/>
      <c r="AA150" s="21"/>
      <c r="AB150" s="21"/>
      <c r="AC150" s="21"/>
      <c r="AD150" s="47" t="str">
        <f>IF(Tabela2[[#This Row],[progresso_pct]] = 100,IFERROR((Tabela2[[#This Row],[Retorno Previsto $]]-Tabela2[[#This Row],[spent_capex]])/Tabela2[[#This Row],[spent_capex]]," ")," ")</f>
        <v xml:space="preserve"> </v>
      </c>
      <c r="AE150" s="21"/>
      <c r="AF150" s="21"/>
      <c r="AG150" s="21"/>
      <c r="AH150" s="21"/>
      <c r="AI150" s="21"/>
      <c r="AJ150" s="21"/>
      <c r="AK150" s="21"/>
      <c r="AL150" s="21"/>
      <c r="AM150" s="21">
        <f>IFERROR(Tabela2[[#This Row],[Data Fim PMO]]-Tabela2[[#This Row],[Data Pedido PMO]],"")</f>
        <v>0</v>
      </c>
      <c r="AN150" s="21"/>
      <c r="AO150" s="21"/>
      <c r="AP150" s="21" t="str">
        <f>IF(Tabela2[[#This Row],[Data Fim Prototipagem2]]=0," ",IFERROR(Tabela2[[#This Row],[Data Fim Prototipagem2]]-Tabela2[[#This Row],[Data Inicio Prototipagem]],""))</f>
        <v xml:space="preserve"> </v>
      </c>
      <c r="AQ150" s="21"/>
      <c r="AR150" s="21"/>
    </row>
    <row r="151" spans="1:44" x14ac:dyDescent="0.3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2"/>
      <c r="O151" s="22"/>
      <c r="P151" s="22"/>
      <c r="Q151" s="22"/>
      <c r="R151" s="22"/>
      <c r="S151" s="22"/>
      <c r="T151" s="39"/>
      <c r="U151" s="21"/>
      <c r="V151" s="21"/>
      <c r="W151" s="50">
        <f>((Tabela2[[#This Row],[Horas economizadas anuais]] / 12) / 4)</f>
        <v>0</v>
      </c>
      <c r="X151" s="21">
        <f>(_xlfn.XLOOKUP(Tabela2[[#This Row],[setor]],dim_custo_setor_horas!A:A,dim_custo_setor_horas!B:B))*Tabela2[[#This Row],[Horas economizadas anuais]]</f>
        <v>0</v>
      </c>
      <c r="Y151" s="21">
        <f>IF(Tabela2[[#This Row],[progresso_pct]]=100,Tabela2[[#This Row],[Retorno Previsto $]],0)</f>
        <v>0</v>
      </c>
      <c r="Z151" s="21"/>
      <c r="AA151" s="21"/>
      <c r="AB151" s="21"/>
      <c r="AC151" s="21"/>
      <c r="AD151" s="47" t="str">
        <f>IF(Tabela2[[#This Row],[progresso_pct]] = 100,IFERROR((Tabela2[[#This Row],[Retorno Previsto $]]-Tabela2[[#This Row],[spent_capex]])/Tabela2[[#This Row],[spent_capex]]," ")," ")</f>
        <v xml:space="preserve"> </v>
      </c>
      <c r="AE151" s="21"/>
      <c r="AF151" s="21"/>
      <c r="AG151" s="21"/>
      <c r="AH151" s="21"/>
      <c r="AI151" s="21"/>
      <c r="AJ151" s="21"/>
      <c r="AK151" s="21"/>
      <c r="AL151" s="21"/>
      <c r="AM151" s="21">
        <f>IFERROR(Tabela2[[#This Row],[Data Fim PMO]]-Tabela2[[#This Row],[Data Pedido PMO]],"")</f>
        <v>0</v>
      </c>
      <c r="AN151" s="21"/>
      <c r="AO151" s="21"/>
      <c r="AP151" s="21" t="str">
        <f>IF(Tabela2[[#This Row],[Data Fim Prototipagem2]]=0," ",IFERROR(Tabela2[[#This Row],[Data Fim Prototipagem2]]-Tabela2[[#This Row],[Data Inicio Prototipagem]],""))</f>
        <v xml:space="preserve"> </v>
      </c>
      <c r="AQ151" s="21"/>
      <c r="AR151" s="21"/>
    </row>
    <row r="152" spans="1:44" x14ac:dyDescent="0.3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2"/>
      <c r="O152" s="22"/>
      <c r="P152" s="22"/>
      <c r="Q152" s="22"/>
      <c r="R152" s="22"/>
      <c r="S152" s="22"/>
      <c r="T152" s="39"/>
      <c r="U152" s="21"/>
      <c r="V152" s="21"/>
      <c r="W152" s="50">
        <f>((Tabela2[[#This Row],[Horas economizadas anuais]] / 12) / 4)</f>
        <v>0</v>
      </c>
      <c r="X152" s="21">
        <f>(_xlfn.XLOOKUP(Tabela2[[#This Row],[setor]],dim_custo_setor_horas!A:A,dim_custo_setor_horas!B:B))*Tabela2[[#This Row],[Horas economizadas anuais]]</f>
        <v>0</v>
      </c>
      <c r="Y152" s="21">
        <f>IF(Tabela2[[#This Row],[progresso_pct]]=100,Tabela2[[#This Row],[Retorno Previsto $]],0)</f>
        <v>0</v>
      </c>
      <c r="Z152" s="21"/>
      <c r="AA152" s="21"/>
      <c r="AB152" s="21"/>
      <c r="AC152" s="21"/>
      <c r="AD152" s="47" t="str">
        <f>IF(Tabela2[[#This Row],[progresso_pct]] = 100,IFERROR((Tabela2[[#This Row],[Retorno Previsto $]]-Tabela2[[#This Row],[spent_capex]])/Tabela2[[#This Row],[spent_capex]]," ")," ")</f>
        <v xml:space="preserve"> </v>
      </c>
      <c r="AE152" s="21"/>
      <c r="AF152" s="21"/>
      <c r="AG152" s="21"/>
      <c r="AH152" s="21"/>
      <c r="AI152" s="21"/>
      <c r="AJ152" s="21"/>
      <c r="AK152" s="21"/>
      <c r="AL152" s="21"/>
      <c r="AM152" s="21">
        <f>IFERROR(Tabela2[[#This Row],[Data Fim PMO]]-Tabela2[[#This Row],[Data Pedido PMO]],"")</f>
        <v>0</v>
      </c>
      <c r="AN152" s="21"/>
      <c r="AO152" s="21"/>
      <c r="AP152" s="21" t="str">
        <f>IF(Tabela2[[#This Row],[Data Fim Prototipagem2]]=0," ",IFERROR(Tabela2[[#This Row],[Data Fim Prototipagem2]]-Tabela2[[#This Row],[Data Inicio Prototipagem]],""))</f>
        <v xml:space="preserve"> </v>
      </c>
      <c r="AQ152" s="21"/>
      <c r="AR152" s="21"/>
    </row>
    <row r="153" spans="1:44" x14ac:dyDescent="0.3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2"/>
      <c r="O153" s="22"/>
      <c r="P153" s="22"/>
      <c r="Q153" s="22"/>
      <c r="R153" s="22"/>
      <c r="S153" s="22"/>
      <c r="T153" s="39"/>
      <c r="U153" s="21"/>
      <c r="V153" s="21"/>
      <c r="W153" s="50">
        <f>((Tabela2[[#This Row],[Horas economizadas anuais]] / 12) / 4)</f>
        <v>0</v>
      </c>
      <c r="X153" s="21">
        <f>(_xlfn.XLOOKUP(Tabela2[[#This Row],[setor]],dim_custo_setor_horas!A:A,dim_custo_setor_horas!B:B))*Tabela2[[#This Row],[Horas economizadas anuais]]</f>
        <v>0</v>
      </c>
      <c r="Y153" s="21">
        <f>IF(Tabela2[[#This Row],[progresso_pct]]=100,Tabela2[[#This Row],[Retorno Previsto $]],0)</f>
        <v>0</v>
      </c>
      <c r="Z153" s="21"/>
      <c r="AA153" s="21"/>
      <c r="AB153" s="21"/>
      <c r="AC153" s="21"/>
      <c r="AD153" s="47" t="str">
        <f>IF(Tabela2[[#This Row],[progresso_pct]] = 100,IFERROR((Tabela2[[#This Row],[Retorno Previsto $]]-Tabela2[[#This Row],[spent_capex]])/Tabela2[[#This Row],[spent_capex]]," ")," ")</f>
        <v xml:space="preserve"> </v>
      </c>
      <c r="AE153" s="21"/>
      <c r="AF153" s="21"/>
      <c r="AG153" s="21"/>
      <c r="AH153" s="21"/>
      <c r="AI153" s="21"/>
      <c r="AJ153" s="21"/>
      <c r="AK153" s="21"/>
      <c r="AL153" s="21"/>
      <c r="AM153" s="21">
        <f>IFERROR(Tabela2[[#This Row],[Data Fim PMO]]-Tabela2[[#This Row],[Data Pedido PMO]],"")</f>
        <v>0</v>
      </c>
      <c r="AN153" s="21"/>
      <c r="AO153" s="21"/>
      <c r="AP153" s="21" t="str">
        <f>IF(Tabela2[[#This Row],[Data Fim Prototipagem2]]=0," ",IFERROR(Tabela2[[#This Row],[Data Fim Prototipagem2]]-Tabela2[[#This Row],[Data Inicio Prototipagem]],""))</f>
        <v xml:space="preserve"> </v>
      </c>
      <c r="AQ153" s="21"/>
      <c r="AR153" s="21"/>
    </row>
    <row r="154" spans="1:44" x14ac:dyDescent="0.3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2"/>
      <c r="O154" s="22"/>
      <c r="P154" s="22"/>
      <c r="Q154" s="22"/>
      <c r="R154" s="22"/>
      <c r="S154" s="22"/>
      <c r="T154" s="39"/>
      <c r="U154" s="21"/>
      <c r="V154" s="21"/>
      <c r="W154" s="50">
        <f>((Tabela2[[#This Row],[Horas economizadas anuais]] / 12) / 4)</f>
        <v>0</v>
      </c>
      <c r="X154" s="21">
        <f>(_xlfn.XLOOKUP(Tabela2[[#This Row],[setor]],dim_custo_setor_horas!A:A,dim_custo_setor_horas!B:B))*Tabela2[[#This Row],[Horas economizadas anuais]]</f>
        <v>0</v>
      </c>
      <c r="Y154" s="21">
        <f>IF(Tabela2[[#This Row],[progresso_pct]]=100,Tabela2[[#This Row],[Retorno Previsto $]],0)</f>
        <v>0</v>
      </c>
      <c r="Z154" s="21"/>
      <c r="AA154" s="21"/>
      <c r="AB154" s="21"/>
      <c r="AC154" s="21"/>
      <c r="AD154" s="47" t="str">
        <f>IF(Tabela2[[#This Row],[progresso_pct]] = 100,IFERROR((Tabela2[[#This Row],[Retorno Previsto $]]-Tabela2[[#This Row],[spent_capex]])/Tabela2[[#This Row],[spent_capex]]," ")," ")</f>
        <v xml:space="preserve"> </v>
      </c>
      <c r="AE154" s="21"/>
      <c r="AF154" s="21"/>
      <c r="AG154" s="21"/>
      <c r="AH154" s="21"/>
      <c r="AI154" s="21"/>
      <c r="AJ154" s="21"/>
      <c r="AK154" s="21"/>
      <c r="AL154" s="21"/>
      <c r="AM154" s="21">
        <f>IFERROR(Tabela2[[#This Row],[Data Fim PMO]]-Tabela2[[#This Row],[Data Pedido PMO]],"")</f>
        <v>0</v>
      </c>
      <c r="AN154" s="21"/>
      <c r="AO154" s="21"/>
      <c r="AP154" s="21" t="str">
        <f>IF(Tabela2[[#This Row],[Data Fim Prototipagem2]]=0," ",IFERROR(Tabela2[[#This Row],[Data Fim Prototipagem2]]-Tabela2[[#This Row],[Data Inicio Prototipagem]],""))</f>
        <v xml:space="preserve"> </v>
      </c>
      <c r="AQ154" s="21"/>
      <c r="AR154" s="21"/>
    </row>
    <row r="155" spans="1:44" x14ac:dyDescent="0.3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2"/>
      <c r="O155" s="22"/>
      <c r="P155" s="22"/>
      <c r="Q155" s="22"/>
      <c r="R155" s="22"/>
      <c r="S155" s="22"/>
      <c r="T155" s="39"/>
      <c r="U155" s="21"/>
      <c r="V155" s="21"/>
      <c r="W155" s="50">
        <f>((Tabela2[[#This Row],[Horas economizadas anuais]] / 12) / 4)</f>
        <v>0</v>
      </c>
      <c r="X155" s="21">
        <f>(_xlfn.XLOOKUP(Tabela2[[#This Row],[setor]],dim_custo_setor_horas!A:A,dim_custo_setor_horas!B:B))*Tabela2[[#This Row],[Horas economizadas anuais]]</f>
        <v>0</v>
      </c>
      <c r="Y155" s="21">
        <f>IF(Tabela2[[#This Row],[progresso_pct]]=100,Tabela2[[#This Row],[Retorno Previsto $]],0)</f>
        <v>0</v>
      </c>
      <c r="Z155" s="21"/>
      <c r="AA155" s="21"/>
      <c r="AB155" s="21"/>
      <c r="AC155" s="21"/>
      <c r="AD155" s="47" t="str">
        <f>IF(Tabela2[[#This Row],[progresso_pct]] = 100,IFERROR((Tabela2[[#This Row],[Retorno Previsto $]]-Tabela2[[#This Row],[spent_capex]])/Tabela2[[#This Row],[spent_capex]]," ")," ")</f>
        <v xml:space="preserve"> </v>
      </c>
      <c r="AE155" s="21"/>
      <c r="AF155" s="21"/>
      <c r="AG155" s="21"/>
      <c r="AH155" s="21"/>
      <c r="AI155" s="21"/>
      <c r="AJ155" s="21"/>
      <c r="AK155" s="21"/>
      <c r="AL155" s="21"/>
      <c r="AM155" s="21">
        <f>IFERROR(Tabela2[[#This Row],[Data Fim PMO]]-Tabela2[[#This Row],[Data Pedido PMO]],"")</f>
        <v>0</v>
      </c>
      <c r="AN155" s="21"/>
      <c r="AO155" s="21"/>
      <c r="AP155" s="21" t="str">
        <f>IF(Tabela2[[#This Row],[Data Fim Prototipagem2]]=0," ",IFERROR(Tabela2[[#This Row],[Data Fim Prototipagem2]]-Tabela2[[#This Row],[Data Inicio Prototipagem]],""))</f>
        <v xml:space="preserve"> </v>
      </c>
      <c r="AQ155" s="21"/>
      <c r="AR155" s="21"/>
    </row>
    <row r="156" spans="1:44" x14ac:dyDescent="0.3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2"/>
      <c r="O156" s="22"/>
      <c r="P156" s="22"/>
      <c r="Q156" s="22"/>
      <c r="R156" s="22"/>
      <c r="S156" s="22"/>
      <c r="T156" s="39"/>
      <c r="U156" s="21"/>
      <c r="V156" s="21"/>
      <c r="W156" s="50">
        <f>((Tabela2[[#This Row],[Horas economizadas anuais]] / 12) / 4)</f>
        <v>0</v>
      </c>
      <c r="X156" s="21">
        <f>(_xlfn.XLOOKUP(Tabela2[[#This Row],[setor]],dim_custo_setor_horas!A:A,dim_custo_setor_horas!B:B))*Tabela2[[#This Row],[Horas economizadas anuais]]</f>
        <v>0</v>
      </c>
      <c r="Y156" s="21">
        <f>IF(Tabela2[[#This Row],[progresso_pct]]=100,Tabela2[[#This Row],[Retorno Previsto $]],0)</f>
        <v>0</v>
      </c>
      <c r="Z156" s="21"/>
      <c r="AA156" s="21"/>
      <c r="AB156" s="21"/>
      <c r="AC156" s="21"/>
      <c r="AD156" s="47" t="str">
        <f>IF(Tabela2[[#This Row],[progresso_pct]] = 100,IFERROR((Tabela2[[#This Row],[Retorno Previsto $]]-Tabela2[[#This Row],[spent_capex]])/Tabela2[[#This Row],[spent_capex]]," ")," ")</f>
        <v xml:space="preserve"> </v>
      </c>
      <c r="AE156" s="21"/>
      <c r="AF156" s="21"/>
      <c r="AG156" s="21"/>
      <c r="AH156" s="21"/>
      <c r="AI156" s="21"/>
      <c r="AJ156" s="21"/>
      <c r="AK156" s="21"/>
      <c r="AL156" s="21"/>
      <c r="AM156" s="21">
        <f>IFERROR(Tabela2[[#This Row],[Data Fim PMO]]-Tabela2[[#This Row],[Data Pedido PMO]],"")</f>
        <v>0</v>
      </c>
      <c r="AN156" s="21"/>
      <c r="AO156" s="21"/>
      <c r="AP156" s="21" t="str">
        <f>IF(Tabela2[[#This Row],[Data Fim Prototipagem2]]=0," ",IFERROR(Tabela2[[#This Row],[Data Fim Prototipagem2]]-Tabela2[[#This Row],[Data Inicio Prototipagem]],""))</f>
        <v xml:space="preserve"> </v>
      </c>
      <c r="AQ156" s="21"/>
      <c r="AR156" s="21"/>
    </row>
    <row r="157" spans="1:44" x14ac:dyDescent="0.3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2"/>
      <c r="O157" s="22"/>
      <c r="P157" s="22"/>
      <c r="Q157" s="22"/>
      <c r="R157" s="22"/>
      <c r="S157" s="22"/>
      <c r="T157" s="39"/>
      <c r="U157" s="21"/>
      <c r="V157" s="21"/>
      <c r="W157" s="50">
        <f>((Tabela2[[#This Row],[Horas economizadas anuais]] / 12) / 4)</f>
        <v>0</v>
      </c>
      <c r="X157" s="21">
        <f>(_xlfn.XLOOKUP(Tabela2[[#This Row],[setor]],dim_custo_setor_horas!A:A,dim_custo_setor_horas!B:B))*Tabela2[[#This Row],[Horas economizadas anuais]]</f>
        <v>0</v>
      </c>
      <c r="Y157" s="21">
        <f>IF(Tabela2[[#This Row],[progresso_pct]]=100,Tabela2[[#This Row],[Retorno Previsto $]],0)</f>
        <v>0</v>
      </c>
      <c r="Z157" s="21"/>
      <c r="AA157" s="21"/>
      <c r="AB157" s="21"/>
      <c r="AC157" s="21"/>
      <c r="AD157" s="47" t="str">
        <f>IF(Tabela2[[#This Row],[progresso_pct]] = 100,IFERROR((Tabela2[[#This Row],[Retorno Previsto $]]-Tabela2[[#This Row],[spent_capex]])/Tabela2[[#This Row],[spent_capex]]," ")," ")</f>
        <v xml:space="preserve"> </v>
      </c>
      <c r="AE157" s="21"/>
      <c r="AF157" s="21"/>
      <c r="AG157" s="21"/>
      <c r="AH157" s="21"/>
      <c r="AI157" s="21"/>
      <c r="AJ157" s="21"/>
      <c r="AK157" s="21"/>
      <c r="AL157" s="21"/>
      <c r="AM157" s="21">
        <f>IFERROR(Tabela2[[#This Row],[Data Fim PMO]]-Tabela2[[#This Row],[Data Pedido PMO]],"")</f>
        <v>0</v>
      </c>
      <c r="AN157" s="21"/>
      <c r="AO157" s="21"/>
      <c r="AP157" s="21" t="str">
        <f>IF(Tabela2[[#This Row],[Data Fim Prototipagem2]]=0," ",IFERROR(Tabela2[[#This Row],[Data Fim Prototipagem2]]-Tabela2[[#This Row],[Data Inicio Prototipagem]],""))</f>
        <v xml:space="preserve"> </v>
      </c>
      <c r="AQ157" s="21"/>
      <c r="AR157" s="21"/>
    </row>
    <row r="158" spans="1:44" x14ac:dyDescent="0.3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2"/>
      <c r="O158" s="22"/>
      <c r="P158" s="22"/>
      <c r="Q158" s="22"/>
      <c r="R158" s="22"/>
      <c r="S158" s="22"/>
      <c r="T158" s="39"/>
      <c r="U158" s="21"/>
      <c r="V158" s="21"/>
      <c r="W158" s="50">
        <f>((Tabela2[[#This Row],[Horas economizadas anuais]] / 12) / 4)</f>
        <v>0</v>
      </c>
      <c r="X158" s="21">
        <f>(_xlfn.XLOOKUP(Tabela2[[#This Row],[setor]],dim_custo_setor_horas!A:A,dim_custo_setor_horas!B:B))*Tabela2[[#This Row],[Horas economizadas anuais]]</f>
        <v>0</v>
      </c>
      <c r="Y158" s="21">
        <f>IF(Tabela2[[#This Row],[progresso_pct]]=100,Tabela2[[#This Row],[Retorno Previsto $]],0)</f>
        <v>0</v>
      </c>
      <c r="Z158" s="21"/>
      <c r="AA158" s="21"/>
      <c r="AB158" s="21"/>
      <c r="AC158" s="21"/>
      <c r="AD158" s="47" t="str">
        <f>IF(Tabela2[[#This Row],[progresso_pct]] = 100,IFERROR((Tabela2[[#This Row],[Retorno Previsto $]]-Tabela2[[#This Row],[spent_capex]])/Tabela2[[#This Row],[spent_capex]]," ")," ")</f>
        <v xml:space="preserve"> </v>
      </c>
      <c r="AE158" s="21"/>
      <c r="AF158" s="21"/>
      <c r="AG158" s="21"/>
      <c r="AH158" s="21"/>
      <c r="AI158" s="21"/>
      <c r="AJ158" s="21"/>
      <c r="AK158" s="21"/>
      <c r="AL158" s="21"/>
      <c r="AM158" s="21">
        <f>IFERROR(Tabela2[[#This Row],[Data Fim PMO]]-Tabela2[[#This Row],[Data Pedido PMO]],"")</f>
        <v>0</v>
      </c>
      <c r="AN158" s="21"/>
      <c r="AO158" s="21"/>
      <c r="AP158" s="21" t="str">
        <f>IF(Tabela2[[#This Row],[Data Fim Prototipagem2]]=0," ",IFERROR(Tabela2[[#This Row],[Data Fim Prototipagem2]]-Tabela2[[#This Row],[Data Inicio Prototipagem]],""))</f>
        <v xml:space="preserve"> </v>
      </c>
      <c r="AQ158" s="21"/>
      <c r="AR158" s="21"/>
    </row>
    <row r="159" spans="1:44" x14ac:dyDescent="0.3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2"/>
      <c r="O159" s="22"/>
      <c r="P159" s="22"/>
      <c r="Q159" s="22"/>
      <c r="R159" s="22"/>
      <c r="S159" s="22"/>
      <c r="T159" s="39"/>
      <c r="U159" s="21"/>
      <c r="V159" s="21"/>
      <c r="W159" s="50">
        <f>((Tabela2[[#This Row],[Horas economizadas anuais]] / 12) / 4)</f>
        <v>0</v>
      </c>
      <c r="X159" s="21">
        <f>(_xlfn.XLOOKUP(Tabela2[[#This Row],[setor]],dim_custo_setor_horas!A:A,dim_custo_setor_horas!B:B))*Tabela2[[#This Row],[Horas economizadas anuais]]</f>
        <v>0</v>
      </c>
      <c r="Y159" s="21">
        <f>IF(Tabela2[[#This Row],[progresso_pct]]=100,Tabela2[[#This Row],[Retorno Previsto $]],0)</f>
        <v>0</v>
      </c>
      <c r="Z159" s="21"/>
      <c r="AA159" s="21"/>
      <c r="AB159" s="21"/>
      <c r="AC159" s="21"/>
      <c r="AD159" s="47" t="str">
        <f>IF(Tabela2[[#This Row],[progresso_pct]] = 100,IFERROR((Tabela2[[#This Row],[Retorno Previsto $]]-Tabela2[[#This Row],[spent_capex]])/Tabela2[[#This Row],[spent_capex]]," ")," ")</f>
        <v xml:space="preserve"> </v>
      </c>
      <c r="AE159" s="21"/>
      <c r="AF159" s="21"/>
      <c r="AG159" s="21"/>
      <c r="AH159" s="21"/>
      <c r="AI159" s="21"/>
      <c r="AJ159" s="21"/>
      <c r="AK159" s="21"/>
      <c r="AL159" s="21"/>
      <c r="AM159" s="21">
        <f>IFERROR(Tabela2[[#This Row],[Data Fim PMO]]-Tabela2[[#This Row],[Data Pedido PMO]],"")</f>
        <v>0</v>
      </c>
      <c r="AN159" s="21"/>
      <c r="AO159" s="21"/>
      <c r="AP159" s="21" t="str">
        <f>IF(Tabela2[[#This Row],[Data Fim Prototipagem2]]=0," ",IFERROR(Tabela2[[#This Row],[Data Fim Prototipagem2]]-Tabela2[[#This Row],[Data Inicio Prototipagem]],""))</f>
        <v xml:space="preserve"> </v>
      </c>
      <c r="AQ159" s="21"/>
      <c r="AR159" s="21"/>
    </row>
    <row r="160" spans="1:44" x14ac:dyDescent="0.3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2"/>
      <c r="O160" s="22"/>
      <c r="P160" s="22"/>
      <c r="Q160" s="22"/>
      <c r="R160" s="22"/>
      <c r="S160" s="22"/>
      <c r="T160" s="39"/>
      <c r="U160" s="21"/>
      <c r="V160" s="21"/>
      <c r="W160" s="50">
        <f>((Tabela2[[#This Row],[Horas economizadas anuais]] / 12) / 4)</f>
        <v>0</v>
      </c>
      <c r="X160" s="21">
        <f>(_xlfn.XLOOKUP(Tabela2[[#This Row],[setor]],dim_custo_setor_horas!A:A,dim_custo_setor_horas!B:B))*Tabela2[[#This Row],[Horas economizadas anuais]]</f>
        <v>0</v>
      </c>
      <c r="Y160" s="21">
        <f>IF(Tabela2[[#This Row],[progresso_pct]]=100,Tabela2[[#This Row],[Retorno Previsto $]],0)</f>
        <v>0</v>
      </c>
      <c r="Z160" s="21"/>
      <c r="AA160" s="21"/>
      <c r="AB160" s="21"/>
      <c r="AC160" s="21"/>
      <c r="AD160" s="47" t="str">
        <f>IF(Tabela2[[#This Row],[progresso_pct]] = 100,IFERROR((Tabela2[[#This Row],[Retorno Previsto $]]-Tabela2[[#This Row],[spent_capex]])/Tabela2[[#This Row],[spent_capex]]," ")," ")</f>
        <v xml:space="preserve"> </v>
      </c>
      <c r="AE160" s="21"/>
      <c r="AF160" s="21"/>
      <c r="AG160" s="21"/>
      <c r="AH160" s="21"/>
      <c r="AI160" s="21"/>
      <c r="AJ160" s="21"/>
      <c r="AK160" s="21"/>
      <c r="AL160" s="21"/>
      <c r="AM160" s="21">
        <f>IFERROR(Tabela2[[#This Row],[Data Fim PMO]]-Tabela2[[#This Row],[Data Pedido PMO]],"")</f>
        <v>0</v>
      </c>
      <c r="AN160" s="21"/>
      <c r="AO160" s="21"/>
      <c r="AP160" s="21" t="str">
        <f>IF(Tabela2[[#This Row],[Data Fim Prototipagem2]]=0," ",IFERROR(Tabela2[[#This Row],[Data Fim Prototipagem2]]-Tabela2[[#This Row],[Data Inicio Prototipagem]],""))</f>
        <v xml:space="preserve"> </v>
      </c>
      <c r="AQ160" s="21"/>
      <c r="AR160" s="21"/>
    </row>
    <row r="161" spans="1:44" x14ac:dyDescent="0.3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2"/>
      <c r="O161" s="22"/>
      <c r="P161" s="22"/>
      <c r="Q161" s="22"/>
      <c r="R161" s="22"/>
      <c r="S161" s="22"/>
      <c r="T161" s="39"/>
      <c r="U161" s="21"/>
      <c r="V161" s="21"/>
      <c r="W161" s="50">
        <f>((Tabela2[[#This Row],[Horas economizadas anuais]] / 12) / 4)</f>
        <v>0</v>
      </c>
      <c r="X161" s="21">
        <f>(_xlfn.XLOOKUP(Tabela2[[#This Row],[setor]],dim_custo_setor_horas!A:A,dim_custo_setor_horas!B:B))*Tabela2[[#This Row],[Horas economizadas anuais]]</f>
        <v>0</v>
      </c>
      <c r="Y161" s="21">
        <f>IF(Tabela2[[#This Row],[progresso_pct]]=100,Tabela2[[#This Row],[Retorno Previsto $]],0)</f>
        <v>0</v>
      </c>
      <c r="Z161" s="21"/>
      <c r="AA161" s="21"/>
      <c r="AB161" s="21"/>
      <c r="AC161" s="21"/>
      <c r="AD161" s="47" t="str">
        <f>IF(Tabela2[[#This Row],[progresso_pct]] = 100,IFERROR((Tabela2[[#This Row],[Retorno Previsto $]]-Tabela2[[#This Row],[spent_capex]])/Tabela2[[#This Row],[spent_capex]]," ")," ")</f>
        <v xml:space="preserve"> </v>
      </c>
      <c r="AE161" s="21"/>
      <c r="AF161" s="21"/>
      <c r="AG161" s="21"/>
      <c r="AH161" s="21"/>
      <c r="AI161" s="21"/>
      <c r="AJ161" s="21"/>
      <c r="AK161" s="21"/>
      <c r="AL161" s="21"/>
      <c r="AM161" s="21">
        <f>IFERROR(Tabela2[[#This Row],[Data Fim PMO]]-Tabela2[[#This Row],[Data Pedido PMO]],"")</f>
        <v>0</v>
      </c>
      <c r="AN161" s="21"/>
      <c r="AO161" s="21"/>
      <c r="AP161" s="21" t="str">
        <f>IF(Tabela2[[#This Row],[Data Fim Prototipagem2]]=0," ",IFERROR(Tabela2[[#This Row],[Data Fim Prototipagem2]]-Tabela2[[#This Row],[Data Inicio Prototipagem]],""))</f>
        <v xml:space="preserve"> </v>
      </c>
      <c r="AQ161" s="21"/>
      <c r="AR161" s="21"/>
    </row>
    <row r="162" spans="1:44" x14ac:dyDescent="0.3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2"/>
      <c r="O162" s="22"/>
      <c r="P162" s="22"/>
      <c r="Q162" s="22"/>
      <c r="R162" s="22"/>
      <c r="S162" s="22"/>
      <c r="T162" s="39"/>
      <c r="U162" s="21"/>
      <c r="V162" s="21"/>
      <c r="W162" s="50">
        <f>((Tabela2[[#This Row],[Horas economizadas anuais]] / 12) / 4)</f>
        <v>0</v>
      </c>
      <c r="X162" s="21">
        <f>(_xlfn.XLOOKUP(Tabela2[[#This Row],[setor]],dim_custo_setor_horas!A:A,dim_custo_setor_horas!B:B))*Tabela2[[#This Row],[Horas economizadas anuais]]</f>
        <v>0</v>
      </c>
      <c r="Y162" s="21">
        <f>IF(Tabela2[[#This Row],[progresso_pct]]=100,Tabela2[[#This Row],[Retorno Previsto $]],0)</f>
        <v>0</v>
      </c>
      <c r="Z162" s="21"/>
      <c r="AA162" s="21"/>
      <c r="AB162" s="21"/>
      <c r="AC162" s="21"/>
      <c r="AD162" s="47" t="str">
        <f>IF(Tabela2[[#This Row],[progresso_pct]] = 100,IFERROR((Tabela2[[#This Row],[Retorno Previsto $]]-Tabela2[[#This Row],[spent_capex]])/Tabela2[[#This Row],[spent_capex]]," ")," ")</f>
        <v xml:space="preserve"> </v>
      </c>
      <c r="AE162" s="21"/>
      <c r="AF162" s="21"/>
      <c r="AG162" s="21"/>
      <c r="AH162" s="21"/>
      <c r="AI162" s="21"/>
      <c r="AJ162" s="21"/>
      <c r="AK162" s="21"/>
      <c r="AL162" s="21"/>
      <c r="AM162" s="21">
        <f>IFERROR(Tabela2[[#This Row],[Data Fim PMO]]-Tabela2[[#This Row],[Data Pedido PMO]],"")</f>
        <v>0</v>
      </c>
      <c r="AN162" s="21"/>
      <c r="AO162" s="21"/>
      <c r="AP162" s="21" t="str">
        <f>IF(Tabela2[[#This Row],[Data Fim Prototipagem2]]=0," ",IFERROR(Tabela2[[#This Row],[Data Fim Prototipagem2]]-Tabela2[[#This Row],[Data Inicio Prototipagem]],""))</f>
        <v xml:space="preserve"> </v>
      </c>
      <c r="AQ162" s="21"/>
      <c r="AR162" s="21"/>
    </row>
    <row r="163" spans="1:44" x14ac:dyDescent="0.3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2"/>
      <c r="O163" s="22"/>
      <c r="P163" s="22"/>
      <c r="Q163" s="22"/>
      <c r="R163" s="22"/>
      <c r="S163" s="22"/>
      <c r="T163" s="39"/>
      <c r="U163" s="21"/>
      <c r="V163" s="21"/>
      <c r="W163" s="50">
        <f>((Tabela2[[#This Row],[Horas economizadas anuais]] / 12) / 4)</f>
        <v>0</v>
      </c>
      <c r="X163" s="21">
        <f>(_xlfn.XLOOKUP(Tabela2[[#This Row],[setor]],dim_custo_setor_horas!A:A,dim_custo_setor_horas!B:B))*Tabela2[[#This Row],[Horas economizadas anuais]]</f>
        <v>0</v>
      </c>
      <c r="Y163" s="21">
        <f>IF(Tabela2[[#This Row],[progresso_pct]]=100,Tabela2[[#This Row],[Retorno Previsto $]],0)</f>
        <v>0</v>
      </c>
      <c r="Z163" s="21"/>
      <c r="AA163" s="21"/>
      <c r="AB163" s="21"/>
      <c r="AC163" s="21"/>
      <c r="AD163" s="47" t="str">
        <f>IF(Tabela2[[#This Row],[progresso_pct]] = 100,IFERROR((Tabela2[[#This Row],[Retorno Previsto $]]-Tabela2[[#This Row],[spent_capex]])/Tabela2[[#This Row],[spent_capex]]," ")," ")</f>
        <v xml:space="preserve"> </v>
      </c>
      <c r="AE163" s="21"/>
      <c r="AF163" s="21"/>
      <c r="AG163" s="21"/>
      <c r="AH163" s="21"/>
      <c r="AI163" s="21"/>
      <c r="AJ163" s="21"/>
      <c r="AK163" s="21"/>
      <c r="AL163" s="21"/>
      <c r="AM163" s="21">
        <f>IFERROR(Tabela2[[#This Row],[Data Fim PMO]]-Tabela2[[#This Row],[Data Pedido PMO]],"")</f>
        <v>0</v>
      </c>
      <c r="AN163" s="21"/>
      <c r="AO163" s="21"/>
      <c r="AP163" s="21" t="str">
        <f>IF(Tabela2[[#This Row],[Data Fim Prototipagem2]]=0," ",IFERROR(Tabela2[[#This Row],[Data Fim Prototipagem2]]-Tabela2[[#This Row],[Data Inicio Prototipagem]],""))</f>
        <v xml:space="preserve"> </v>
      </c>
      <c r="AQ163" s="21"/>
      <c r="AR163" s="21"/>
    </row>
    <row r="164" spans="1:44" x14ac:dyDescent="0.3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2"/>
      <c r="O164" s="22"/>
      <c r="P164" s="22"/>
      <c r="Q164" s="22"/>
      <c r="R164" s="22"/>
      <c r="S164" s="22"/>
      <c r="T164" s="39"/>
      <c r="U164" s="21"/>
      <c r="V164" s="21"/>
      <c r="W164" s="50">
        <f>((Tabela2[[#This Row],[Horas economizadas anuais]] / 12) / 4)</f>
        <v>0</v>
      </c>
      <c r="X164" s="21">
        <f>(_xlfn.XLOOKUP(Tabela2[[#This Row],[setor]],dim_custo_setor_horas!A:A,dim_custo_setor_horas!B:B))*Tabela2[[#This Row],[Horas economizadas anuais]]</f>
        <v>0</v>
      </c>
      <c r="Y164" s="21">
        <f>IF(Tabela2[[#This Row],[progresso_pct]]=100,Tabela2[[#This Row],[Retorno Previsto $]],0)</f>
        <v>0</v>
      </c>
      <c r="Z164" s="21"/>
      <c r="AA164" s="21"/>
      <c r="AB164" s="21"/>
      <c r="AC164" s="21"/>
      <c r="AD164" s="47" t="str">
        <f>IF(Tabela2[[#This Row],[progresso_pct]] = 100,IFERROR((Tabela2[[#This Row],[Retorno Previsto $]]-Tabela2[[#This Row],[spent_capex]])/Tabela2[[#This Row],[spent_capex]]," ")," ")</f>
        <v xml:space="preserve"> </v>
      </c>
      <c r="AE164" s="21"/>
      <c r="AF164" s="21"/>
      <c r="AG164" s="21"/>
      <c r="AH164" s="21"/>
      <c r="AI164" s="21"/>
      <c r="AJ164" s="21"/>
      <c r="AK164" s="21"/>
      <c r="AL164" s="21"/>
      <c r="AM164" s="21">
        <f>IFERROR(Tabela2[[#This Row],[Data Fim PMO]]-Tabela2[[#This Row],[Data Pedido PMO]],"")</f>
        <v>0</v>
      </c>
      <c r="AN164" s="21"/>
      <c r="AO164" s="21"/>
      <c r="AP164" s="21" t="str">
        <f>IF(Tabela2[[#This Row],[Data Fim Prototipagem2]]=0," ",IFERROR(Tabela2[[#This Row],[Data Fim Prototipagem2]]-Tabela2[[#This Row],[Data Inicio Prototipagem]],""))</f>
        <v xml:space="preserve"> </v>
      </c>
      <c r="AQ164" s="21"/>
      <c r="AR164" s="21"/>
    </row>
    <row r="165" spans="1:44" x14ac:dyDescent="0.3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2"/>
      <c r="O165" s="22"/>
      <c r="P165" s="22"/>
      <c r="Q165" s="22"/>
      <c r="R165" s="22"/>
      <c r="S165" s="22"/>
      <c r="T165" s="39"/>
      <c r="U165" s="21"/>
      <c r="V165" s="21"/>
      <c r="W165" s="50">
        <f>((Tabela2[[#This Row],[Horas economizadas anuais]] / 12) / 4)</f>
        <v>0</v>
      </c>
      <c r="X165" s="21">
        <f>(_xlfn.XLOOKUP(Tabela2[[#This Row],[setor]],dim_custo_setor_horas!A:A,dim_custo_setor_horas!B:B))*Tabela2[[#This Row],[Horas economizadas anuais]]</f>
        <v>0</v>
      </c>
      <c r="Y165" s="21">
        <f>IF(Tabela2[[#This Row],[progresso_pct]]=100,Tabela2[[#This Row],[Retorno Previsto $]],0)</f>
        <v>0</v>
      </c>
      <c r="Z165" s="21"/>
      <c r="AA165" s="21"/>
      <c r="AB165" s="21"/>
      <c r="AC165" s="21"/>
      <c r="AD165" s="47" t="str">
        <f>IF(Tabela2[[#This Row],[progresso_pct]] = 100,IFERROR((Tabela2[[#This Row],[Retorno Previsto $]]-Tabela2[[#This Row],[spent_capex]])/Tabela2[[#This Row],[spent_capex]]," ")," ")</f>
        <v xml:space="preserve"> </v>
      </c>
      <c r="AE165" s="21"/>
      <c r="AF165" s="21"/>
      <c r="AG165" s="21"/>
      <c r="AH165" s="21"/>
      <c r="AI165" s="21"/>
      <c r="AJ165" s="21"/>
      <c r="AK165" s="21"/>
      <c r="AL165" s="21"/>
      <c r="AM165" s="21">
        <f>IFERROR(Tabela2[[#This Row],[Data Fim PMO]]-Tabela2[[#This Row],[Data Pedido PMO]],"")</f>
        <v>0</v>
      </c>
      <c r="AN165" s="21"/>
      <c r="AO165" s="21"/>
      <c r="AP165" s="21" t="str">
        <f>IF(Tabela2[[#This Row],[Data Fim Prototipagem2]]=0," ",IFERROR(Tabela2[[#This Row],[Data Fim Prototipagem2]]-Tabela2[[#This Row],[Data Inicio Prototipagem]],""))</f>
        <v xml:space="preserve"> </v>
      </c>
      <c r="AQ165" s="21"/>
      <c r="AR165" s="21"/>
    </row>
    <row r="166" spans="1:44" x14ac:dyDescent="0.3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2"/>
      <c r="O166" s="22"/>
      <c r="P166" s="22"/>
      <c r="Q166" s="22"/>
      <c r="R166" s="22"/>
      <c r="S166" s="22"/>
      <c r="T166" s="39"/>
      <c r="U166" s="21"/>
      <c r="V166" s="21"/>
      <c r="W166" s="50">
        <f>((Tabela2[[#This Row],[Horas economizadas anuais]] / 12) / 4)</f>
        <v>0</v>
      </c>
      <c r="X166" s="21">
        <f>(_xlfn.XLOOKUP(Tabela2[[#This Row],[setor]],dim_custo_setor_horas!A:A,dim_custo_setor_horas!B:B))*Tabela2[[#This Row],[Horas economizadas anuais]]</f>
        <v>0</v>
      </c>
      <c r="Y166" s="21">
        <f>IF(Tabela2[[#This Row],[progresso_pct]]=100,Tabela2[[#This Row],[Retorno Previsto $]],0)</f>
        <v>0</v>
      </c>
      <c r="Z166" s="21"/>
      <c r="AA166" s="21"/>
      <c r="AB166" s="21"/>
      <c r="AC166" s="21"/>
      <c r="AD166" s="47" t="str">
        <f>IF(Tabela2[[#This Row],[progresso_pct]] = 100,IFERROR((Tabela2[[#This Row],[Retorno Previsto $]]-Tabela2[[#This Row],[spent_capex]])/Tabela2[[#This Row],[spent_capex]]," ")," ")</f>
        <v xml:space="preserve"> </v>
      </c>
      <c r="AE166" s="21"/>
      <c r="AF166" s="21"/>
      <c r="AG166" s="21"/>
      <c r="AH166" s="21"/>
      <c r="AI166" s="21"/>
      <c r="AJ166" s="21"/>
      <c r="AK166" s="21"/>
      <c r="AL166" s="21"/>
      <c r="AM166" s="21">
        <f>IFERROR(Tabela2[[#This Row],[Data Fim PMO]]-Tabela2[[#This Row],[Data Pedido PMO]],"")</f>
        <v>0</v>
      </c>
      <c r="AN166" s="21"/>
      <c r="AO166" s="21"/>
      <c r="AP166" s="21" t="str">
        <f>IF(Tabela2[[#This Row],[Data Fim Prototipagem2]]=0," ",IFERROR(Tabela2[[#This Row],[Data Fim Prototipagem2]]-Tabela2[[#This Row],[Data Inicio Prototipagem]],""))</f>
        <v xml:space="preserve"> </v>
      </c>
      <c r="AQ166" s="21"/>
      <c r="AR166" s="21"/>
    </row>
    <row r="167" spans="1:44" x14ac:dyDescent="0.3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2"/>
      <c r="O167" s="22"/>
      <c r="P167" s="22"/>
      <c r="Q167" s="22"/>
      <c r="R167" s="22"/>
      <c r="S167" s="22"/>
      <c r="T167" s="39"/>
      <c r="U167" s="21"/>
      <c r="V167" s="21"/>
      <c r="W167" s="50">
        <f>((Tabela2[[#This Row],[Horas economizadas anuais]] / 12) / 4)</f>
        <v>0</v>
      </c>
      <c r="X167" s="21">
        <f>(_xlfn.XLOOKUP(Tabela2[[#This Row],[setor]],dim_custo_setor_horas!A:A,dim_custo_setor_horas!B:B))*Tabela2[[#This Row],[Horas economizadas anuais]]</f>
        <v>0</v>
      </c>
      <c r="Y167" s="21">
        <f>IF(Tabela2[[#This Row],[progresso_pct]]=100,Tabela2[[#This Row],[Retorno Previsto $]],0)</f>
        <v>0</v>
      </c>
      <c r="Z167" s="21"/>
      <c r="AA167" s="21"/>
      <c r="AB167" s="21"/>
      <c r="AC167" s="21"/>
      <c r="AD167" s="47" t="str">
        <f>IF(Tabela2[[#This Row],[progresso_pct]] = 100,IFERROR((Tabela2[[#This Row],[Retorno Previsto $]]-Tabela2[[#This Row],[spent_capex]])/Tabela2[[#This Row],[spent_capex]]," ")," ")</f>
        <v xml:space="preserve"> </v>
      </c>
      <c r="AE167" s="21"/>
      <c r="AF167" s="21"/>
      <c r="AG167" s="21"/>
      <c r="AH167" s="21"/>
      <c r="AI167" s="21"/>
      <c r="AJ167" s="21"/>
      <c r="AK167" s="21"/>
      <c r="AL167" s="21"/>
      <c r="AM167" s="21">
        <f>IFERROR(Tabela2[[#This Row],[Data Fim PMO]]-Tabela2[[#This Row],[Data Pedido PMO]],"")</f>
        <v>0</v>
      </c>
      <c r="AN167" s="21"/>
      <c r="AO167" s="21"/>
      <c r="AP167" s="21" t="str">
        <f>IF(Tabela2[[#This Row],[Data Fim Prototipagem2]]=0," ",IFERROR(Tabela2[[#This Row],[Data Fim Prototipagem2]]-Tabela2[[#This Row],[Data Inicio Prototipagem]],""))</f>
        <v xml:space="preserve"> </v>
      </c>
      <c r="AQ167" s="21"/>
      <c r="AR167" s="21"/>
    </row>
    <row r="168" spans="1:44" x14ac:dyDescent="0.3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2"/>
      <c r="O168" s="22"/>
      <c r="P168" s="22"/>
      <c r="Q168" s="22"/>
      <c r="R168" s="22"/>
      <c r="S168" s="22"/>
      <c r="T168" s="39"/>
      <c r="U168" s="21"/>
      <c r="V168" s="21"/>
      <c r="W168" s="50">
        <f>((Tabela2[[#This Row],[Horas economizadas anuais]] / 12) / 4)</f>
        <v>0</v>
      </c>
      <c r="X168" s="21">
        <f>(_xlfn.XLOOKUP(Tabela2[[#This Row],[setor]],dim_custo_setor_horas!A:A,dim_custo_setor_horas!B:B))*Tabela2[[#This Row],[Horas economizadas anuais]]</f>
        <v>0</v>
      </c>
      <c r="Y168" s="21">
        <f>IF(Tabela2[[#This Row],[progresso_pct]]=100,Tabela2[[#This Row],[Retorno Previsto $]],0)</f>
        <v>0</v>
      </c>
      <c r="Z168" s="21"/>
      <c r="AA168" s="21"/>
      <c r="AB168" s="21"/>
      <c r="AC168" s="21"/>
      <c r="AD168" s="47" t="str">
        <f>IF(Tabela2[[#This Row],[progresso_pct]] = 100,IFERROR((Tabela2[[#This Row],[Retorno Previsto $]]-Tabela2[[#This Row],[spent_capex]])/Tabela2[[#This Row],[spent_capex]]," ")," ")</f>
        <v xml:space="preserve"> </v>
      </c>
      <c r="AE168" s="21"/>
      <c r="AF168" s="21"/>
      <c r="AG168" s="21"/>
      <c r="AH168" s="21"/>
      <c r="AI168" s="21"/>
      <c r="AJ168" s="21"/>
      <c r="AK168" s="21"/>
      <c r="AL168" s="21"/>
      <c r="AM168" s="21">
        <f>IFERROR(Tabela2[[#This Row],[Data Fim PMO]]-Tabela2[[#This Row],[Data Pedido PMO]],"")</f>
        <v>0</v>
      </c>
      <c r="AN168" s="21"/>
      <c r="AO168" s="21"/>
      <c r="AP168" s="21" t="str">
        <f>IF(Tabela2[[#This Row],[Data Fim Prototipagem2]]=0," ",IFERROR(Tabela2[[#This Row],[Data Fim Prototipagem2]]-Tabela2[[#This Row],[Data Inicio Prototipagem]],""))</f>
        <v xml:space="preserve"> </v>
      </c>
      <c r="AQ168" s="21"/>
      <c r="AR168" s="21"/>
    </row>
    <row r="169" spans="1:44" x14ac:dyDescent="0.3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2"/>
      <c r="O169" s="22"/>
      <c r="P169" s="22"/>
      <c r="Q169" s="22"/>
      <c r="R169" s="22"/>
      <c r="S169" s="22"/>
      <c r="T169" s="39"/>
      <c r="U169" s="21"/>
      <c r="V169" s="21"/>
      <c r="W169" s="50">
        <f>((Tabela2[[#This Row],[Horas economizadas anuais]] / 12) / 4)</f>
        <v>0</v>
      </c>
      <c r="X169" s="21">
        <f>(_xlfn.XLOOKUP(Tabela2[[#This Row],[setor]],dim_custo_setor_horas!A:A,dim_custo_setor_horas!B:B))*Tabela2[[#This Row],[Horas economizadas anuais]]</f>
        <v>0</v>
      </c>
      <c r="Y169" s="21">
        <f>IF(Tabela2[[#This Row],[progresso_pct]]=100,Tabela2[[#This Row],[Retorno Previsto $]],0)</f>
        <v>0</v>
      </c>
      <c r="Z169" s="21"/>
      <c r="AA169" s="21"/>
      <c r="AB169" s="21"/>
      <c r="AC169" s="21"/>
      <c r="AD169" s="47" t="str">
        <f>IF(Tabela2[[#This Row],[progresso_pct]] = 100,IFERROR((Tabela2[[#This Row],[Retorno Previsto $]]-Tabela2[[#This Row],[spent_capex]])/Tabela2[[#This Row],[spent_capex]]," ")," ")</f>
        <v xml:space="preserve"> </v>
      </c>
      <c r="AE169" s="21"/>
      <c r="AF169" s="21"/>
      <c r="AG169" s="21"/>
      <c r="AH169" s="21"/>
      <c r="AI169" s="21"/>
      <c r="AJ169" s="21"/>
      <c r="AK169" s="21"/>
      <c r="AL169" s="21"/>
      <c r="AM169" s="21">
        <f>IFERROR(Tabela2[[#This Row],[Data Fim PMO]]-Tabela2[[#This Row],[Data Pedido PMO]],"")</f>
        <v>0</v>
      </c>
      <c r="AN169" s="21"/>
      <c r="AO169" s="21"/>
      <c r="AP169" s="21" t="str">
        <f>IF(Tabela2[[#This Row],[Data Fim Prototipagem2]]=0," ",IFERROR(Tabela2[[#This Row],[Data Fim Prototipagem2]]-Tabela2[[#This Row],[Data Inicio Prototipagem]],""))</f>
        <v xml:space="preserve"> </v>
      </c>
      <c r="AQ169" s="21"/>
      <c r="AR169" s="21"/>
    </row>
    <row r="170" spans="1:44" x14ac:dyDescent="0.3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2"/>
      <c r="O170" s="22"/>
      <c r="P170" s="22"/>
      <c r="Q170" s="22"/>
      <c r="R170" s="22"/>
      <c r="S170" s="22"/>
      <c r="T170" s="39"/>
      <c r="U170" s="21"/>
      <c r="V170" s="21"/>
      <c r="W170" s="50">
        <f>((Tabela2[[#This Row],[Horas economizadas anuais]] / 12) / 4)</f>
        <v>0</v>
      </c>
      <c r="X170" s="21">
        <f>(_xlfn.XLOOKUP(Tabela2[[#This Row],[setor]],dim_custo_setor_horas!A:A,dim_custo_setor_horas!B:B))*Tabela2[[#This Row],[Horas economizadas anuais]]</f>
        <v>0</v>
      </c>
      <c r="Y170" s="21">
        <f>IF(Tabela2[[#This Row],[progresso_pct]]=100,Tabela2[[#This Row],[Retorno Previsto $]],0)</f>
        <v>0</v>
      </c>
      <c r="Z170" s="21"/>
      <c r="AA170" s="21"/>
      <c r="AB170" s="21"/>
      <c r="AC170" s="21"/>
      <c r="AD170" s="47" t="str">
        <f>IF(Tabela2[[#This Row],[progresso_pct]] = 100,IFERROR((Tabela2[[#This Row],[Retorno Previsto $]]-Tabela2[[#This Row],[spent_capex]])/Tabela2[[#This Row],[spent_capex]]," ")," ")</f>
        <v xml:space="preserve"> </v>
      </c>
      <c r="AE170" s="21"/>
      <c r="AF170" s="21"/>
      <c r="AG170" s="21"/>
      <c r="AH170" s="21"/>
      <c r="AI170" s="21"/>
      <c r="AJ170" s="21"/>
      <c r="AK170" s="21"/>
      <c r="AL170" s="21"/>
      <c r="AM170" s="21">
        <f>IFERROR(Tabela2[[#This Row],[Data Fim PMO]]-Tabela2[[#This Row],[Data Pedido PMO]],"")</f>
        <v>0</v>
      </c>
      <c r="AN170" s="21"/>
      <c r="AO170" s="21"/>
      <c r="AP170" s="21" t="str">
        <f>IF(Tabela2[[#This Row],[Data Fim Prototipagem2]]=0," ",IFERROR(Tabela2[[#This Row],[Data Fim Prototipagem2]]-Tabela2[[#This Row],[Data Inicio Prototipagem]],""))</f>
        <v xml:space="preserve"> </v>
      </c>
      <c r="AQ170" s="21"/>
      <c r="AR170" s="21"/>
    </row>
    <row r="171" spans="1:44" x14ac:dyDescent="0.3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2"/>
      <c r="O171" s="22"/>
      <c r="P171" s="22"/>
      <c r="Q171" s="22"/>
      <c r="R171" s="22"/>
      <c r="S171" s="22"/>
      <c r="T171" s="39"/>
      <c r="U171" s="21"/>
      <c r="V171" s="21"/>
      <c r="W171" s="50">
        <f>((Tabela2[[#This Row],[Horas economizadas anuais]] / 12) / 4)</f>
        <v>0</v>
      </c>
      <c r="X171" s="21">
        <f>(_xlfn.XLOOKUP(Tabela2[[#This Row],[setor]],dim_custo_setor_horas!A:A,dim_custo_setor_horas!B:B))*Tabela2[[#This Row],[Horas economizadas anuais]]</f>
        <v>0</v>
      </c>
      <c r="Y171" s="21">
        <f>IF(Tabela2[[#This Row],[progresso_pct]]=100,Tabela2[[#This Row],[Retorno Previsto $]],0)</f>
        <v>0</v>
      </c>
      <c r="Z171" s="21"/>
      <c r="AA171" s="21"/>
      <c r="AB171" s="21"/>
      <c r="AC171" s="21"/>
      <c r="AD171" s="47" t="str">
        <f>IF(Tabela2[[#This Row],[progresso_pct]] = 100,IFERROR((Tabela2[[#This Row],[Retorno Previsto $]]-Tabela2[[#This Row],[spent_capex]])/Tabela2[[#This Row],[spent_capex]]," ")," ")</f>
        <v xml:space="preserve"> </v>
      </c>
      <c r="AE171" s="21"/>
      <c r="AF171" s="21"/>
      <c r="AG171" s="21"/>
      <c r="AH171" s="21"/>
      <c r="AI171" s="21"/>
      <c r="AJ171" s="21"/>
      <c r="AK171" s="21"/>
      <c r="AL171" s="21"/>
      <c r="AM171" s="21">
        <f>IFERROR(Tabela2[[#This Row],[Data Fim PMO]]-Tabela2[[#This Row],[Data Pedido PMO]],"")</f>
        <v>0</v>
      </c>
      <c r="AN171" s="21"/>
      <c r="AO171" s="21"/>
      <c r="AP171" s="21" t="str">
        <f>IF(Tabela2[[#This Row],[Data Fim Prototipagem2]]=0," ",IFERROR(Tabela2[[#This Row],[Data Fim Prototipagem2]]-Tabela2[[#This Row],[Data Inicio Prototipagem]],""))</f>
        <v xml:space="preserve"> </v>
      </c>
      <c r="AQ171" s="21"/>
      <c r="AR171" s="21"/>
    </row>
    <row r="172" spans="1:44" x14ac:dyDescent="0.3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2"/>
      <c r="O172" s="22"/>
      <c r="P172" s="22"/>
      <c r="Q172" s="22"/>
      <c r="R172" s="22"/>
      <c r="S172" s="22"/>
      <c r="T172" s="39"/>
      <c r="U172" s="21"/>
      <c r="V172" s="21"/>
      <c r="W172" s="50">
        <f>((Tabela2[[#This Row],[Horas economizadas anuais]] / 12) / 4)</f>
        <v>0</v>
      </c>
      <c r="X172" s="21">
        <f>(_xlfn.XLOOKUP(Tabela2[[#This Row],[setor]],dim_custo_setor_horas!A:A,dim_custo_setor_horas!B:B))*Tabela2[[#This Row],[Horas economizadas anuais]]</f>
        <v>0</v>
      </c>
      <c r="Y172" s="21">
        <f>IF(Tabela2[[#This Row],[progresso_pct]]=100,Tabela2[[#This Row],[Retorno Previsto $]],0)</f>
        <v>0</v>
      </c>
      <c r="Z172" s="21"/>
      <c r="AA172" s="21"/>
      <c r="AB172" s="21"/>
      <c r="AC172" s="21"/>
      <c r="AD172" s="47" t="str">
        <f>IF(Tabela2[[#This Row],[progresso_pct]] = 100,IFERROR((Tabela2[[#This Row],[Retorno Previsto $]]-Tabela2[[#This Row],[spent_capex]])/Tabela2[[#This Row],[spent_capex]]," ")," ")</f>
        <v xml:space="preserve"> </v>
      </c>
      <c r="AE172" s="21"/>
      <c r="AF172" s="21"/>
      <c r="AG172" s="21"/>
      <c r="AH172" s="21"/>
      <c r="AI172" s="21"/>
      <c r="AJ172" s="21"/>
      <c r="AK172" s="21"/>
      <c r="AL172" s="21"/>
      <c r="AM172" s="21">
        <f>IFERROR(Tabela2[[#This Row],[Data Fim PMO]]-Tabela2[[#This Row],[Data Pedido PMO]],"")</f>
        <v>0</v>
      </c>
      <c r="AN172" s="21"/>
      <c r="AO172" s="21"/>
      <c r="AP172" s="21" t="str">
        <f>IF(Tabela2[[#This Row],[Data Fim Prototipagem2]]=0," ",IFERROR(Tabela2[[#This Row],[Data Fim Prototipagem2]]-Tabela2[[#This Row],[Data Inicio Prototipagem]],""))</f>
        <v xml:space="preserve"> </v>
      </c>
      <c r="AQ172" s="21"/>
      <c r="AR172" s="21"/>
    </row>
    <row r="173" spans="1:44" x14ac:dyDescent="0.3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2"/>
      <c r="O173" s="22"/>
      <c r="P173" s="22"/>
      <c r="Q173" s="22"/>
      <c r="R173" s="22"/>
      <c r="S173" s="22"/>
      <c r="T173" s="39"/>
      <c r="U173" s="21"/>
      <c r="V173" s="21"/>
      <c r="W173" s="50">
        <f>((Tabela2[[#This Row],[Horas economizadas anuais]] / 12) / 4)</f>
        <v>0</v>
      </c>
      <c r="X173" s="21">
        <f>(_xlfn.XLOOKUP(Tabela2[[#This Row],[setor]],dim_custo_setor_horas!A:A,dim_custo_setor_horas!B:B))*Tabela2[[#This Row],[Horas economizadas anuais]]</f>
        <v>0</v>
      </c>
      <c r="Y173" s="21">
        <f>IF(Tabela2[[#This Row],[progresso_pct]]=100,Tabela2[[#This Row],[Retorno Previsto $]],0)</f>
        <v>0</v>
      </c>
      <c r="Z173" s="21"/>
      <c r="AA173" s="21"/>
      <c r="AB173" s="21"/>
      <c r="AC173" s="21"/>
      <c r="AD173" s="47" t="str">
        <f>IF(Tabela2[[#This Row],[progresso_pct]] = 100,IFERROR((Tabela2[[#This Row],[Retorno Previsto $]]-Tabela2[[#This Row],[spent_capex]])/Tabela2[[#This Row],[spent_capex]]," ")," ")</f>
        <v xml:space="preserve"> </v>
      </c>
      <c r="AE173" s="21"/>
      <c r="AF173" s="21"/>
      <c r="AG173" s="21"/>
      <c r="AH173" s="21"/>
      <c r="AI173" s="21"/>
      <c r="AJ173" s="21"/>
      <c r="AK173" s="21"/>
      <c r="AL173" s="21"/>
      <c r="AM173" s="21">
        <f>IFERROR(Tabela2[[#This Row],[Data Fim PMO]]-Tabela2[[#This Row],[Data Pedido PMO]],"")</f>
        <v>0</v>
      </c>
      <c r="AN173" s="21"/>
      <c r="AO173" s="21"/>
      <c r="AP173" s="21" t="str">
        <f>IF(Tabela2[[#This Row],[Data Fim Prototipagem2]]=0," ",IFERROR(Tabela2[[#This Row],[Data Fim Prototipagem2]]-Tabela2[[#This Row],[Data Inicio Prototipagem]],""))</f>
        <v xml:space="preserve"> </v>
      </c>
      <c r="AQ173" s="21"/>
      <c r="AR173" s="21"/>
    </row>
    <row r="174" spans="1:44" x14ac:dyDescent="0.3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2"/>
      <c r="O174" s="22"/>
      <c r="P174" s="22"/>
      <c r="Q174" s="22"/>
      <c r="R174" s="22"/>
      <c r="S174" s="22"/>
      <c r="T174" s="39"/>
      <c r="U174" s="21"/>
      <c r="V174" s="21"/>
      <c r="W174" s="50">
        <f>((Tabela2[[#This Row],[Horas economizadas anuais]] / 12) / 4)</f>
        <v>0</v>
      </c>
      <c r="X174" s="21">
        <f>(_xlfn.XLOOKUP(Tabela2[[#This Row],[setor]],dim_custo_setor_horas!A:A,dim_custo_setor_horas!B:B))*Tabela2[[#This Row],[Horas economizadas anuais]]</f>
        <v>0</v>
      </c>
      <c r="Y174" s="21">
        <f>IF(Tabela2[[#This Row],[progresso_pct]]=100,Tabela2[[#This Row],[Retorno Previsto $]],0)</f>
        <v>0</v>
      </c>
      <c r="Z174" s="21"/>
      <c r="AA174" s="21"/>
      <c r="AB174" s="21"/>
      <c r="AC174" s="21"/>
      <c r="AD174" s="47" t="str">
        <f>IF(Tabela2[[#This Row],[progresso_pct]] = 100,IFERROR((Tabela2[[#This Row],[Retorno Previsto $]]-Tabela2[[#This Row],[spent_capex]])/Tabela2[[#This Row],[spent_capex]]," ")," ")</f>
        <v xml:space="preserve"> </v>
      </c>
      <c r="AE174" s="21"/>
      <c r="AF174" s="21"/>
      <c r="AG174" s="21"/>
      <c r="AH174" s="21"/>
      <c r="AI174" s="21"/>
      <c r="AJ174" s="21"/>
      <c r="AK174" s="21"/>
      <c r="AL174" s="21"/>
      <c r="AM174" s="21">
        <f>IFERROR(Tabela2[[#This Row],[Data Fim PMO]]-Tabela2[[#This Row],[Data Pedido PMO]],"")</f>
        <v>0</v>
      </c>
      <c r="AN174" s="21"/>
      <c r="AO174" s="21"/>
      <c r="AP174" s="21" t="str">
        <f>IF(Tabela2[[#This Row],[Data Fim Prototipagem2]]=0," ",IFERROR(Tabela2[[#This Row],[Data Fim Prototipagem2]]-Tabela2[[#This Row],[Data Inicio Prototipagem]],""))</f>
        <v xml:space="preserve"> </v>
      </c>
      <c r="AQ174" s="21"/>
      <c r="AR174" s="21"/>
    </row>
    <row r="175" spans="1:44" x14ac:dyDescent="0.3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2"/>
      <c r="O175" s="22"/>
      <c r="P175" s="22"/>
      <c r="Q175" s="22"/>
      <c r="R175" s="22"/>
      <c r="S175" s="22"/>
      <c r="T175" s="39"/>
      <c r="U175" s="21"/>
      <c r="V175" s="21"/>
      <c r="W175" s="50">
        <f>((Tabela2[[#This Row],[Horas economizadas anuais]] / 12) / 4)</f>
        <v>0</v>
      </c>
      <c r="X175" s="21">
        <f>(_xlfn.XLOOKUP(Tabela2[[#This Row],[setor]],dim_custo_setor_horas!A:A,dim_custo_setor_horas!B:B))*Tabela2[[#This Row],[Horas economizadas anuais]]</f>
        <v>0</v>
      </c>
      <c r="Y175" s="21">
        <f>IF(Tabela2[[#This Row],[progresso_pct]]=100,Tabela2[[#This Row],[Retorno Previsto $]],0)</f>
        <v>0</v>
      </c>
      <c r="Z175" s="21"/>
      <c r="AA175" s="21"/>
      <c r="AB175" s="21"/>
      <c r="AC175" s="21"/>
      <c r="AD175" s="47" t="str">
        <f>IF(Tabela2[[#This Row],[progresso_pct]] = 100,IFERROR((Tabela2[[#This Row],[Retorno Previsto $]]-Tabela2[[#This Row],[spent_capex]])/Tabela2[[#This Row],[spent_capex]]," ")," ")</f>
        <v xml:space="preserve"> </v>
      </c>
      <c r="AE175" s="21"/>
      <c r="AF175" s="21"/>
      <c r="AG175" s="21"/>
      <c r="AH175" s="21"/>
      <c r="AI175" s="21"/>
      <c r="AJ175" s="21"/>
      <c r="AK175" s="21"/>
      <c r="AL175" s="21"/>
      <c r="AM175" s="21">
        <f>IFERROR(Tabela2[[#This Row],[Data Fim PMO]]-Tabela2[[#This Row],[Data Pedido PMO]],"")</f>
        <v>0</v>
      </c>
      <c r="AN175" s="21"/>
      <c r="AO175" s="21"/>
      <c r="AP175" s="21" t="str">
        <f>IF(Tabela2[[#This Row],[Data Fim Prototipagem2]]=0," ",IFERROR(Tabela2[[#This Row],[Data Fim Prototipagem2]]-Tabela2[[#This Row],[Data Inicio Prototipagem]],""))</f>
        <v xml:space="preserve"> </v>
      </c>
      <c r="AQ175" s="21"/>
      <c r="AR175" s="21"/>
    </row>
    <row r="176" spans="1:44" x14ac:dyDescent="0.3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2"/>
      <c r="O176" s="22"/>
      <c r="P176" s="22"/>
      <c r="Q176" s="22"/>
      <c r="R176" s="22"/>
      <c r="S176" s="22"/>
      <c r="T176" s="39"/>
      <c r="U176" s="21"/>
      <c r="V176" s="21"/>
      <c r="W176" s="50">
        <f>((Tabela2[[#This Row],[Horas economizadas anuais]] / 12) / 4)</f>
        <v>0</v>
      </c>
      <c r="X176" s="21">
        <f>(_xlfn.XLOOKUP(Tabela2[[#This Row],[setor]],dim_custo_setor_horas!A:A,dim_custo_setor_horas!B:B))*Tabela2[[#This Row],[Horas economizadas anuais]]</f>
        <v>0</v>
      </c>
      <c r="Y176" s="21">
        <f>IF(Tabela2[[#This Row],[progresso_pct]]=100,Tabela2[[#This Row],[Retorno Previsto $]],0)</f>
        <v>0</v>
      </c>
      <c r="Z176" s="21"/>
      <c r="AA176" s="21"/>
      <c r="AB176" s="21"/>
      <c r="AC176" s="21"/>
      <c r="AD176" s="47" t="str">
        <f>IF(Tabela2[[#This Row],[progresso_pct]] = 100,IFERROR((Tabela2[[#This Row],[Retorno Previsto $]]-Tabela2[[#This Row],[spent_capex]])/Tabela2[[#This Row],[spent_capex]]," ")," ")</f>
        <v xml:space="preserve"> </v>
      </c>
      <c r="AE176" s="21"/>
      <c r="AF176" s="21"/>
      <c r="AG176" s="21"/>
      <c r="AH176" s="21"/>
      <c r="AI176" s="21"/>
      <c r="AJ176" s="21"/>
      <c r="AK176" s="21"/>
      <c r="AL176" s="21"/>
      <c r="AM176" s="21">
        <f>IFERROR(Tabela2[[#This Row],[Data Fim PMO]]-Tabela2[[#This Row],[Data Pedido PMO]],"")</f>
        <v>0</v>
      </c>
      <c r="AN176" s="21"/>
      <c r="AO176" s="21"/>
      <c r="AP176" s="21" t="str">
        <f>IF(Tabela2[[#This Row],[Data Fim Prototipagem2]]=0," ",IFERROR(Tabela2[[#This Row],[Data Fim Prototipagem2]]-Tabela2[[#This Row],[Data Inicio Prototipagem]],""))</f>
        <v xml:space="preserve"> </v>
      </c>
      <c r="AQ176" s="21"/>
      <c r="AR176" s="21"/>
    </row>
    <row r="177" spans="1:44" x14ac:dyDescent="0.3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2"/>
      <c r="O177" s="22"/>
      <c r="P177" s="22"/>
      <c r="Q177" s="22"/>
      <c r="R177" s="22"/>
      <c r="S177" s="22"/>
      <c r="T177" s="39"/>
      <c r="U177" s="21"/>
      <c r="V177" s="21"/>
      <c r="W177" s="50">
        <f>((Tabela2[[#This Row],[Horas economizadas anuais]] / 12) / 4)</f>
        <v>0</v>
      </c>
      <c r="X177" s="21">
        <f>(_xlfn.XLOOKUP(Tabela2[[#This Row],[setor]],dim_custo_setor_horas!A:A,dim_custo_setor_horas!B:B))*Tabela2[[#This Row],[Horas economizadas anuais]]</f>
        <v>0</v>
      </c>
      <c r="Y177" s="21">
        <f>IF(Tabela2[[#This Row],[progresso_pct]]=100,Tabela2[[#This Row],[Retorno Previsto $]],0)</f>
        <v>0</v>
      </c>
      <c r="Z177" s="21"/>
      <c r="AA177" s="21"/>
      <c r="AB177" s="21"/>
      <c r="AC177" s="21"/>
      <c r="AD177" s="47" t="str">
        <f>IF(Tabela2[[#This Row],[progresso_pct]] = 100,IFERROR((Tabela2[[#This Row],[Retorno Previsto $]]-Tabela2[[#This Row],[spent_capex]])/Tabela2[[#This Row],[spent_capex]]," ")," ")</f>
        <v xml:space="preserve"> </v>
      </c>
      <c r="AE177" s="21"/>
      <c r="AF177" s="21"/>
      <c r="AG177" s="21"/>
      <c r="AH177" s="21"/>
      <c r="AI177" s="21"/>
      <c r="AJ177" s="21"/>
      <c r="AK177" s="21"/>
      <c r="AL177" s="21"/>
      <c r="AM177" s="21">
        <f>IFERROR(Tabela2[[#This Row],[Data Fim PMO]]-Tabela2[[#This Row],[Data Pedido PMO]],"")</f>
        <v>0</v>
      </c>
      <c r="AN177" s="21"/>
      <c r="AO177" s="21"/>
      <c r="AP177" s="21" t="str">
        <f>IF(Tabela2[[#This Row],[Data Fim Prototipagem2]]=0," ",IFERROR(Tabela2[[#This Row],[Data Fim Prototipagem2]]-Tabela2[[#This Row],[Data Inicio Prototipagem]],""))</f>
        <v xml:space="preserve"> </v>
      </c>
      <c r="AQ177" s="21"/>
      <c r="AR177" s="21"/>
    </row>
    <row r="178" spans="1:44" x14ac:dyDescent="0.3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2"/>
      <c r="O178" s="22"/>
      <c r="P178" s="22"/>
      <c r="Q178" s="22"/>
      <c r="R178" s="22"/>
      <c r="S178" s="22"/>
      <c r="T178" s="39"/>
      <c r="U178" s="21"/>
      <c r="V178" s="21"/>
      <c r="W178" s="50">
        <f>((Tabela2[[#This Row],[Horas economizadas anuais]] / 12) / 4)</f>
        <v>0</v>
      </c>
      <c r="X178" s="21">
        <f>(_xlfn.XLOOKUP(Tabela2[[#This Row],[setor]],dim_custo_setor_horas!A:A,dim_custo_setor_horas!B:B))*Tabela2[[#This Row],[Horas economizadas anuais]]</f>
        <v>0</v>
      </c>
      <c r="Y178" s="21">
        <f>IF(Tabela2[[#This Row],[progresso_pct]]=100,Tabela2[[#This Row],[Retorno Previsto $]],0)</f>
        <v>0</v>
      </c>
      <c r="Z178" s="21"/>
      <c r="AA178" s="21"/>
      <c r="AB178" s="21"/>
      <c r="AC178" s="21"/>
      <c r="AD178" s="47" t="str">
        <f>IF(Tabela2[[#This Row],[progresso_pct]] = 100,IFERROR((Tabela2[[#This Row],[Retorno Previsto $]]-Tabela2[[#This Row],[spent_capex]])/Tabela2[[#This Row],[spent_capex]]," ")," ")</f>
        <v xml:space="preserve"> </v>
      </c>
      <c r="AE178" s="21"/>
      <c r="AF178" s="21"/>
      <c r="AG178" s="21"/>
      <c r="AH178" s="21"/>
      <c r="AI178" s="21"/>
      <c r="AJ178" s="21"/>
      <c r="AK178" s="21"/>
      <c r="AL178" s="21"/>
      <c r="AM178" s="21">
        <f>IFERROR(Tabela2[[#This Row],[Data Fim PMO]]-Tabela2[[#This Row],[Data Pedido PMO]],"")</f>
        <v>0</v>
      </c>
      <c r="AN178" s="21"/>
      <c r="AO178" s="21"/>
      <c r="AP178" s="21" t="str">
        <f>IF(Tabela2[[#This Row],[Data Fim Prototipagem2]]=0," ",IFERROR(Tabela2[[#This Row],[Data Fim Prototipagem2]]-Tabela2[[#This Row],[Data Inicio Prototipagem]],""))</f>
        <v xml:space="preserve"> </v>
      </c>
      <c r="AQ178" s="21"/>
      <c r="AR178" s="21"/>
    </row>
    <row r="179" spans="1:44" x14ac:dyDescent="0.3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2"/>
      <c r="O179" s="22"/>
      <c r="P179" s="22"/>
      <c r="Q179" s="22"/>
      <c r="R179" s="22"/>
      <c r="S179" s="22"/>
      <c r="T179" s="39"/>
      <c r="U179" s="21"/>
      <c r="V179" s="21"/>
      <c r="W179" s="50">
        <f>((Tabela2[[#This Row],[Horas economizadas anuais]] / 12) / 4)</f>
        <v>0</v>
      </c>
      <c r="X179" s="21">
        <f>(_xlfn.XLOOKUP(Tabela2[[#This Row],[setor]],dim_custo_setor_horas!A:A,dim_custo_setor_horas!B:B))*Tabela2[[#This Row],[Horas economizadas anuais]]</f>
        <v>0</v>
      </c>
      <c r="Y179" s="21">
        <f>IF(Tabela2[[#This Row],[progresso_pct]]=100,Tabela2[[#This Row],[Retorno Previsto $]],0)</f>
        <v>0</v>
      </c>
      <c r="Z179" s="21"/>
      <c r="AA179" s="21"/>
      <c r="AB179" s="21"/>
      <c r="AC179" s="21"/>
      <c r="AD179" s="47" t="str">
        <f>IF(Tabela2[[#This Row],[progresso_pct]] = 100,IFERROR((Tabela2[[#This Row],[Retorno Previsto $]]-Tabela2[[#This Row],[spent_capex]])/Tabela2[[#This Row],[spent_capex]]," ")," ")</f>
        <v xml:space="preserve"> </v>
      </c>
      <c r="AE179" s="21"/>
      <c r="AF179" s="21"/>
      <c r="AG179" s="21"/>
      <c r="AH179" s="21"/>
      <c r="AI179" s="21"/>
      <c r="AJ179" s="21"/>
      <c r="AK179" s="21"/>
      <c r="AL179" s="21"/>
      <c r="AM179" s="21">
        <f>IFERROR(Tabela2[[#This Row],[Data Fim PMO]]-Tabela2[[#This Row],[Data Pedido PMO]],"")</f>
        <v>0</v>
      </c>
      <c r="AN179" s="21"/>
      <c r="AO179" s="21"/>
      <c r="AP179" s="21" t="str">
        <f>IF(Tabela2[[#This Row],[Data Fim Prototipagem2]]=0," ",IFERROR(Tabela2[[#This Row],[Data Fim Prototipagem2]]-Tabela2[[#This Row],[Data Inicio Prototipagem]],""))</f>
        <v xml:space="preserve"> </v>
      </c>
      <c r="AQ179" s="21"/>
      <c r="AR179" s="21"/>
    </row>
    <row r="180" spans="1:44" x14ac:dyDescent="0.3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2"/>
      <c r="O180" s="22"/>
      <c r="P180" s="22"/>
      <c r="Q180" s="22"/>
      <c r="R180" s="22"/>
      <c r="S180" s="22"/>
      <c r="T180" s="39"/>
      <c r="U180" s="21"/>
      <c r="V180" s="21"/>
      <c r="W180" s="50">
        <f>((Tabela2[[#This Row],[Horas economizadas anuais]] / 12) / 4)</f>
        <v>0</v>
      </c>
      <c r="X180" s="21">
        <f>(_xlfn.XLOOKUP(Tabela2[[#This Row],[setor]],dim_custo_setor_horas!A:A,dim_custo_setor_horas!B:B))*Tabela2[[#This Row],[Horas economizadas anuais]]</f>
        <v>0</v>
      </c>
      <c r="Y180" s="21">
        <f>IF(Tabela2[[#This Row],[progresso_pct]]=100,Tabela2[[#This Row],[Retorno Previsto $]],0)</f>
        <v>0</v>
      </c>
      <c r="Z180" s="21"/>
      <c r="AA180" s="21"/>
      <c r="AB180" s="21"/>
      <c r="AC180" s="21"/>
      <c r="AD180" s="47" t="str">
        <f>IF(Tabela2[[#This Row],[progresso_pct]] = 100,IFERROR((Tabela2[[#This Row],[Retorno Previsto $]]-Tabela2[[#This Row],[spent_capex]])/Tabela2[[#This Row],[spent_capex]]," ")," ")</f>
        <v xml:space="preserve"> </v>
      </c>
      <c r="AE180" s="21"/>
      <c r="AF180" s="21"/>
      <c r="AG180" s="21"/>
      <c r="AH180" s="21"/>
      <c r="AI180" s="21"/>
      <c r="AJ180" s="21"/>
      <c r="AK180" s="21"/>
      <c r="AL180" s="21"/>
      <c r="AM180" s="21">
        <f>IFERROR(Tabela2[[#This Row],[Data Fim PMO]]-Tabela2[[#This Row],[Data Pedido PMO]],"")</f>
        <v>0</v>
      </c>
      <c r="AN180" s="21"/>
      <c r="AO180" s="21"/>
      <c r="AP180" s="21" t="str">
        <f>IF(Tabela2[[#This Row],[Data Fim Prototipagem2]]=0," ",IFERROR(Tabela2[[#This Row],[Data Fim Prototipagem2]]-Tabela2[[#This Row],[Data Inicio Prototipagem]],""))</f>
        <v xml:space="preserve"> </v>
      </c>
      <c r="AQ180" s="21"/>
      <c r="AR180" s="21"/>
    </row>
    <row r="181" spans="1:44" x14ac:dyDescent="0.3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2"/>
      <c r="O181" s="22"/>
      <c r="P181" s="22"/>
      <c r="Q181" s="22"/>
      <c r="R181" s="22"/>
      <c r="S181" s="22"/>
      <c r="T181" s="39"/>
      <c r="U181" s="21"/>
      <c r="V181" s="21"/>
      <c r="W181" s="50">
        <f>((Tabela2[[#This Row],[Horas economizadas anuais]] / 12) / 4)</f>
        <v>0</v>
      </c>
      <c r="X181" s="21">
        <f>(_xlfn.XLOOKUP(Tabela2[[#This Row],[setor]],dim_custo_setor_horas!A:A,dim_custo_setor_horas!B:B))*Tabela2[[#This Row],[Horas economizadas anuais]]</f>
        <v>0</v>
      </c>
      <c r="Y181" s="21">
        <f>IF(Tabela2[[#This Row],[progresso_pct]]=100,Tabela2[[#This Row],[Retorno Previsto $]],0)</f>
        <v>0</v>
      </c>
      <c r="Z181" s="21"/>
      <c r="AA181" s="21"/>
      <c r="AB181" s="21"/>
      <c r="AC181" s="21"/>
      <c r="AD181" s="47" t="str">
        <f>IF(Tabela2[[#This Row],[progresso_pct]] = 100,IFERROR((Tabela2[[#This Row],[Retorno Previsto $]]-Tabela2[[#This Row],[spent_capex]])/Tabela2[[#This Row],[spent_capex]]," ")," ")</f>
        <v xml:space="preserve"> </v>
      </c>
      <c r="AE181" s="21"/>
      <c r="AF181" s="21"/>
      <c r="AG181" s="21"/>
      <c r="AH181" s="21"/>
      <c r="AI181" s="21"/>
      <c r="AJ181" s="21"/>
      <c r="AK181" s="21"/>
      <c r="AL181" s="21"/>
      <c r="AM181" s="21">
        <f>IFERROR(Tabela2[[#This Row],[Data Fim PMO]]-Tabela2[[#This Row],[Data Pedido PMO]],"")</f>
        <v>0</v>
      </c>
      <c r="AN181" s="21"/>
      <c r="AO181" s="21"/>
      <c r="AP181" s="21" t="str">
        <f>IF(Tabela2[[#This Row],[Data Fim Prototipagem2]]=0," ",IFERROR(Tabela2[[#This Row],[Data Fim Prototipagem2]]-Tabela2[[#This Row],[Data Inicio Prototipagem]],""))</f>
        <v xml:space="preserve"> </v>
      </c>
      <c r="AQ181" s="21"/>
      <c r="AR181" s="21"/>
    </row>
    <row r="182" spans="1:44" x14ac:dyDescent="0.3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2"/>
      <c r="O182" s="22"/>
      <c r="P182" s="22"/>
      <c r="Q182" s="22"/>
      <c r="R182" s="22"/>
      <c r="S182" s="22"/>
      <c r="T182" s="39"/>
      <c r="U182" s="21"/>
      <c r="V182" s="21"/>
      <c r="W182" s="50">
        <f>((Tabela2[[#This Row],[Horas economizadas anuais]] / 12) / 4)</f>
        <v>0</v>
      </c>
      <c r="X182" s="21">
        <f>(_xlfn.XLOOKUP(Tabela2[[#This Row],[setor]],dim_custo_setor_horas!A:A,dim_custo_setor_horas!B:B))*Tabela2[[#This Row],[Horas economizadas anuais]]</f>
        <v>0</v>
      </c>
      <c r="Y182" s="21">
        <f>IF(Tabela2[[#This Row],[progresso_pct]]=100,Tabela2[[#This Row],[Retorno Previsto $]],0)</f>
        <v>0</v>
      </c>
      <c r="Z182" s="21"/>
      <c r="AA182" s="21"/>
      <c r="AB182" s="21"/>
      <c r="AC182" s="21"/>
      <c r="AD182" s="47" t="str">
        <f>IF(Tabela2[[#This Row],[progresso_pct]] = 100,IFERROR((Tabela2[[#This Row],[Retorno Previsto $]]-Tabela2[[#This Row],[spent_capex]])/Tabela2[[#This Row],[spent_capex]]," ")," ")</f>
        <v xml:space="preserve"> </v>
      </c>
      <c r="AE182" s="21"/>
      <c r="AF182" s="21"/>
      <c r="AG182" s="21"/>
      <c r="AH182" s="21"/>
      <c r="AI182" s="21"/>
      <c r="AJ182" s="21"/>
      <c r="AK182" s="21"/>
      <c r="AL182" s="21"/>
      <c r="AM182" s="21">
        <f>IFERROR(Tabela2[[#This Row],[Data Fim PMO]]-Tabela2[[#This Row],[Data Pedido PMO]],"")</f>
        <v>0</v>
      </c>
      <c r="AN182" s="21"/>
      <c r="AO182" s="21"/>
      <c r="AP182" s="21" t="str">
        <f>IF(Tabela2[[#This Row],[Data Fim Prototipagem2]]=0," ",IFERROR(Tabela2[[#This Row],[Data Fim Prototipagem2]]-Tabela2[[#This Row],[Data Inicio Prototipagem]],""))</f>
        <v xml:space="preserve"> </v>
      </c>
      <c r="AQ182" s="21"/>
      <c r="AR182" s="21"/>
    </row>
    <row r="183" spans="1:44" x14ac:dyDescent="0.3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2"/>
      <c r="O183" s="22"/>
      <c r="P183" s="22"/>
      <c r="Q183" s="22"/>
      <c r="R183" s="22"/>
      <c r="S183" s="22"/>
      <c r="T183" s="39"/>
      <c r="U183" s="21"/>
      <c r="V183" s="21"/>
      <c r="W183" s="50">
        <f>((Tabela2[[#This Row],[Horas economizadas anuais]] / 12) / 4)</f>
        <v>0</v>
      </c>
      <c r="X183" s="21">
        <f>(_xlfn.XLOOKUP(Tabela2[[#This Row],[setor]],dim_custo_setor_horas!A:A,dim_custo_setor_horas!B:B))*Tabela2[[#This Row],[Horas economizadas anuais]]</f>
        <v>0</v>
      </c>
      <c r="Y183" s="21">
        <f>IF(Tabela2[[#This Row],[progresso_pct]]=100,Tabela2[[#This Row],[Retorno Previsto $]],0)</f>
        <v>0</v>
      </c>
      <c r="Z183" s="21"/>
      <c r="AA183" s="21"/>
      <c r="AB183" s="21"/>
      <c r="AC183" s="21"/>
      <c r="AD183" s="47" t="str">
        <f>IF(Tabela2[[#This Row],[progresso_pct]] = 100,IFERROR((Tabela2[[#This Row],[Retorno Previsto $]]-Tabela2[[#This Row],[spent_capex]])/Tabela2[[#This Row],[spent_capex]]," ")," ")</f>
        <v xml:space="preserve"> </v>
      </c>
      <c r="AE183" s="21"/>
      <c r="AF183" s="21"/>
      <c r="AG183" s="21"/>
      <c r="AH183" s="21"/>
      <c r="AI183" s="21"/>
      <c r="AJ183" s="21"/>
      <c r="AK183" s="21"/>
      <c r="AL183" s="21"/>
      <c r="AM183" s="21">
        <f>IFERROR(Tabela2[[#This Row],[Data Fim PMO]]-Tabela2[[#This Row],[Data Pedido PMO]],"")</f>
        <v>0</v>
      </c>
      <c r="AN183" s="21"/>
      <c r="AO183" s="21"/>
      <c r="AP183" s="21" t="str">
        <f>IF(Tabela2[[#This Row],[Data Fim Prototipagem2]]=0," ",IFERROR(Tabela2[[#This Row],[Data Fim Prototipagem2]]-Tabela2[[#This Row],[Data Inicio Prototipagem]],""))</f>
        <v xml:space="preserve"> </v>
      </c>
      <c r="AQ183" s="21"/>
      <c r="AR183" s="21"/>
    </row>
    <row r="184" spans="1:44" x14ac:dyDescent="0.3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2"/>
      <c r="O184" s="22"/>
      <c r="P184" s="22"/>
      <c r="Q184" s="22"/>
      <c r="R184" s="22"/>
      <c r="S184" s="22"/>
      <c r="T184" s="39"/>
      <c r="U184" s="21"/>
      <c r="V184" s="21"/>
      <c r="W184" s="50">
        <f>((Tabela2[[#This Row],[Horas economizadas anuais]] / 12) / 4)</f>
        <v>0</v>
      </c>
      <c r="X184" s="21">
        <f>(_xlfn.XLOOKUP(Tabela2[[#This Row],[setor]],dim_custo_setor_horas!A:A,dim_custo_setor_horas!B:B))*Tabela2[[#This Row],[Horas economizadas anuais]]</f>
        <v>0</v>
      </c>
      <c r="Y184" s="21">
        <f>IF(Tabela2[[#This Row],[progresso_pct]]=100,Tabela2[[#This Row],[Retorno Previsto $]],0)</f>
        <v>0</v>
      </c>
      <c r="Z184" s="21"/>
      <c r="AA184" s="21"/>
      <c r="AB184" s="21"/>
      <c r="AC184" s="21"/>
      <c r="AD184" s="47" t="str">
        <f>IF(Tabela2[[#This Row],[progresso_pct]] = 100,IFERROR((Tabela2[[#This Row],[Retorno Previsto $]]-Tabela2[[#This Row],[spent_capex]])/Tabela2[[#This Row],[spent_capex]]," ")," ")</f>
        <v xml:space="preserve"> </v>
      </c>
      <c r="AE184" s="21"/>
      <c r="AF184" s="21"/>
      <c r="AG184" s="21"/>
      <c r="AH184" s="21"/>
      <c r="AI184" s="21"/>
      <c r="AJ184" s="21"/>
      <c r="AK184" s="21"/>
      <c r="AL184" s="21"/>
      <c r="AM184" s="21">
        <f>IFERROR(Tabela2[[#This Row],[Data Fim PMO]]-Tabela2[[#This Row],[Data Pedido PMO]],"")</f>
        <v>0</v>
      </c>
      <c r="AN184" s="21"/>
      <c r="AO184" s="21"/>
      <c r="AP184" s="21" t="str">
        <f>IF(Tabela2[[#This Row],[Data Fim Prototipagem2]]=0," ",IFERROR(Tabela2[[#This Row],[Data Fim Prototipagem2]]-Tabela2[[#This Row],[Data Inicio Prototipagem]],""))</f>
        <v xml:space="preserve"> </v>
      </c>
      <c r="AQ184" s="21"/>
      <c r="AR184" s="21"/>
    </row>
    <row r="185" spans="1:44" x14ac:dyDescent="0.3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2"/>
      <c r="O185" s="22"/>
      <c r="P185" s="22"/>
      <c r="Q185" s="22"/>
      <c r="R185" s="22"/>
      <c r="S185" s="22"/>
      <c r="T185" s="39"/>
      <c r="U185" s="21"/>
      <c r="V185" s="21"/>
      <c r="W185" s="50">
        <f>((Tabela2[[#This Row],[Horas economizadas anuais]] / 12) / 4)</f>
        <v>0</v>
      </c>
      <c r="X185" s="21">
        <f>(_xlfn.XLOOKUP(Tabela2[[#This Row],[setor]],dim_custo_setor_horas!A:A,dim_custo_setor_horas!B:B))*Tabela2[[#This Row],[Horas economizadas anuais]]</f>
        <v>0</v>
      </c>
      <c r="Y185" s="21">
        <f>IF(Tabela2[[#This Row],[progresso_pct]]=100,Tabela2[[#This Row],[Retorno Previsto $]],0)</f>
        <v>0</v>
      </c>
      <c r="Z185" s="21"/>
      <c r="AA185" s="21"/>
      <c r="AB185" s="21"/>
      <c r="AC185" s="21"/>
      <c r="AD185" s="47" t="str">
        <f>IF(Tabela2[[#This Row],[progresso_pct]] = 100,IFERROR((Tabela2[[#This Row],[Retorno Previsto $]]-Tabela2[[#This Row],[spent_capex]])/Tabela2[[#This Row],[spent_capex]]," ")," ")</f>
        <v xml:space="preserve"> </v>
      </c>
      <c r="AE185" s="21"/>
      <c r="AF185" s="21"/>
      <c r="AG185" s="21"/>
      <c r="AH185" s="21"/>
      <c r="AI185" s="21"/>
      <c r="AJ185" s="21"/>
      <c r="AK185" s="21"/>
      <c r="AL185" s="21"/>
      <c r="AM185" s="21">
        <f>IFERROR(Tabela2[[#This Row],[Data Fim PMO]]-Tabela2[[#This Row],[Data Pedido PMO]],"")</f>
        <v>0</v>
      </c>
      <c r="AN185" s="21"/>
      <c r="AO185" s="21"/>
      <c r="AP185" s="21" t="str">
        <f>IF(Tabela2[[#This Row],[Data Fim Prototipagem2]]=0," ",IFERROR(Tabela2[[#This Row],[Data Fim Prototipagem2]]-Tabela2[[#This Row],[Data Inicio Prototipagem]],""))</f>
        <v xml:space="preserve"> </v>
      </c>
      <c r="AQ185" s="21"/>
      <c r="AR185" s="21"/>
    </row>
    <row r="186" spans="1:44" x14ac:dyDescent="0.3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2"/>
      <c r="O186" s="22"/>
      <c r="P186" s="22"/>
      <c r="Q186" s="22"/>
      <c r="R186" s="22"/>
      <c r="S186" s="22"/>
      <c r="T186" s="39"/>
      <c r="U186" s="21"/>
      <c r="V186" s="21"/>
      <c r="W186" s="50">
        <f>((Tabela2[[#This Row],[Horas economizadas anuais]] / 12) / 4)</f>
        <v>0</v>
      </c>
      <c r="X186" s="21">
        <f>(_xlfn.XLOOKUP(Tabela2[[#This Row],[setor]],dim_custo_setor_horas!A:A,dim_custo_setor_horas!B:B))*Tabela2[[#This Row],[Horas economizadas anuais]]</f>
        <v>0</v>
      </c>
      <c r="Y186" s="21">
        <f>IF(Tabela2[[#This Row],[progresso_pct]]=100,Tabela2[[#This Row],[Retorno Previsto $]],0)</f>
        <v>0</v>
      </c>
      <c r="Z186" s="21"/>
      <c r="AA186" s="21"/>
      <c r="AB186" s="21"/>
      <c r="AC186" s="21"/>
      <c r="AD186" s="47" t="str">
        <f>IF(Tabela2[[#This Row],[progresso_pct]] = 100,IFERROR((Tabela2[[#This Row],[Retorno Previsto $]]-Tabela2[[#This Row],[spent_capex]])/Tabela2[[#This Row],[spent_capex]]," ")," ")</f>
        <v xml:space="preserve"> </v>
      </c>
      <c r="AE186" s="21"/>
      <c r="AF186" s="21"/>
      <c r="AG186" s="21"/>
      <c r="AH186" s="21"/>
      <c r="AI186" s="21"/>
      <c r="AJ186" s="21"/>
      <c r="AK186" s="21"/>
      <c r="AL186" s="21"/>
      <c r="AM186" s="21">
        <f>IFERROR(Tabela2[[#This Row],[Data Fim PMO]]-Tabela2[[#This Row],[Data Pedido PMO]],"")</f>
        <v>0</v>
      </c>
      <c r="AN186" s="21"/>
      <c r="AO186" s="21"/>
      <c r="AP186" s="21" t="str">
        <f>IF(Tabela2[[#This Row],[Data Fim Prototipagem2]]=0," ",IFERROR(Tabela2[[#This Row],[Data Fim Prototipagem2]]-Tabela2[[#This Row],[Data Inicio Prototipagem]],""))</f>
        <v xml:space="preserve"> </v>
      </c>
      <c r="AQ186" s="21"/>
      <c r="AR186" s="21"/>
    </row>
    <row r="187" spans="1:44" x14ac:dyDescent="0.3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2"/>
      <c r="O187" s="22"/>
      <c r="P187" s="22"/>
      <c r="Q187" s="22"/>
      <c r="R187" s="22"/>
      <c r="S187" s="22"/>
      <c r="T187" s="39"/>
      <c r="U187" s="21"/>
      <c r="V187" s="21"/>
      <c r="W187" s="50">
        <f>((Tabela2[[#This Row],[Horas economizadas anuais]] / 12) / 4)</f>
        <v>0</v>
      </c>
      <c r="X187" s="21">
        <f>(_xlfn.XLOOKUP(Tabela2[[#This Row],[setor]],dim_custo_setor_horas!A:A,dim_custo_setor_horas!B:B))*Tabela2[[#This Row],[Horas economizadas anuais]]</f>
        <v>0</v>
      </c>
      <c r="Y187" s="21">
        <f>IF(Tabela2[[#This Row],[progresso_pct]]=100,Tabela2[[#This Row],[Retorno Previsto $]],0)</f>
        <v>0</v>
      </c>
      <c r="Z187" s="21"/>
      <c r="AA187" s="21"/>
      <c r="AB187" s="21"/>
      <c r="AC187" s="21"/>
      <c r="AD187" s="47" t="str">
        <f>IF(Tabela2[[#This Row],[progresso_pct]] = 100,IFERROR((Tabela2[[#This Row],[Retorno Previsto $]]-Tabela2[[#This Row],[spent_capex]])/Tabela2[[#This Row],[spent_capex]]," ")," ")</f>
        <v xml:space="preserve"> </v>
      </c>
      <c r="AE187" s="21"/>
      <c r="AF187" s="21"/>
      <c r="AG187" s="21"/>
      <c r="AH187" s="21"/>
      <c r="AI187" s="21"/>
      <c r="AJ187" s="21"/>
      <c r="AK187" s="21"/>
      <c r="AL187" s="21"/>
      <c r="AM187" s="21">
        <f>IFERROR(Tabela2[[#This Row],[Data Fim PMO]]-Tabela2[[#This Row],[Data Pedido PMO]],"")</f>
        <v>0</v>
      </c>
      <c r="AN187" s="21"/>
      <c r="AO187" s="21"/>
      <c r="AP187" s="21" t="str">
        <f>IF(Tabela2[[#This Row],[Data Fim Prototipagem2]]=0," ",IFERROR(Tabela2[[#This Row],[Data Fim Prototipagem2]]-Tabela2[[#This Row],[Data Inicio Prototipagem]],""))</f>
        <v xml:space="preserve"> </v>
      </c>
      <c r="AQ187" s="21"/>
      <c r="AR187" s="21"/>
    </row>
    <row r="188" spans="1:44" x14ac:dyDescent="0.3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2"/>
      <c r="O188" s="22"/>
      <c r="P188" s="22"/>
      <c r="Q188" s="22"/>
      <c r="R188" s="22"/>
      <c r="S188" s="22"/>
      <c r="T188" s="39"/>
      <c r="U188" s="21"/>
      <c r="V188" s="21"/>
      <c r="W188" s="50">
        <f>((Tabela2[[#This Row],[Horas economizadas anuais]] / 12) / 4)</f>
        <v>0</v>
      </c>
      <c r="X188" s="21">
        <f>(_xlfn.XLOOKUP(Tabela2[[#This Row],[setor]],dim_custo_setor_horas!A:A,dim_custo_setor_horas!B:B))*Tabela2[[#This Row],[Horas economizadas anuais]]</f>
        <v>0</v>
      </c>
      <c r="Y188" s="21">
        <f>IF(Tabela2[[#This Row],[progresso_pct]]=100,Tabela2[[#This Row],[Retorno Previsto $]],0)</f>
        <v>0</v>
      </c>
      <c r="Z188" s="21"/>
      <c r="AA188" s="21"/>
      <c r="AB188" s="21"/>
      <c r="AC188" s="21"/>
      <c r="AD188" s="47" t="str">
        <f>IF(Tabela2[[#This Row],[progresso_pct]] = 100,IFERROR((Tabela2[[#This Row],[Retorno Previsto $]]-Tabela2[[#This Row],[spent_capex]])/Tabela2[[#This Row],[spent_capex]]," ")," ")</f>
        <v xml:space="preserve"> </v>
      </c>
      <c r="AE188" s="21"/>
      <c r="AF188" s="21"/>
      <c r="AG188" s="21"/>
      <c r="AH188" s="21"/>
      <c r="AI188" s="21"/>
      <c r="AJ188" s="21"/>
      <c r="AK188" s="21"/>
      <c r="AL188" s="21"/>
      <c r="AM188" s="21">
        <f>IFERROR(Tabela2[[#This Row],[Data Fim PMO]]-Tabela2[[#This Row],[Data Pedido PMO]],"")</f>
        <v>0</v>
      </c>
      <c r="AN188" s="21"/>
      <c r="AO188" s="21"/>
      <c r="AP188" s="21" t="str">
        <f>IF(Tabela2[[#This Row],[Data Fim Prototipagem2]]=0," ",IFERROR(Tabela2[[#This Row],[Data Fim Prototipagem2]]-Tabela2[[#This Row],[Data Inicio Prototipagem]],""))</f>
        <v xml:space="preserve"> </v>
      </c>
      <c r="AQ188" s="21"/>
      <c r="AR188" s="21"/>
    </row>
    <row r="189" spans="1:44" x14ac:dyDescent="0.3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2"/>
      <c r="O189" s="22"/>
      <c r="P189" s="22"/>
      <c r="Q189" s="22"/>
      <c r="R189" s="22"/>
      <c r="S189" s="22"/>
      <c r="T189" s="39"/>
      <c r="U189" s="21"/>
      <c r="V189" s="21"/>
      <c r="W189" s="50">
        <f>((Tabela2[[#This Row],[Horas economizadas anuais]] / 12) / 4)</f>
        <v>0</v>
      </c>
      <c r="X189" s="21">
        <f>(_xlfn.XLOOKUP(Tabela2[[#This Row],[setor]],dim_custo_setor_horas!A:A,dim_custo_setor_horas!B:B))*Tabela2[[#This Row],[Horas economizadas anuais]]</f>
        <v>0</v>
      </c>
      <c r="Y189" s="21">
        <f>IF(Tabela2[[#This Row],[progresso_pct]]=100,Tabela2[[#This Row],[Retorno Previsto $]],0)</f>
        <v>0</v>
      </c>
      <c r="Z189" s="21"/>
      <c r="AA189" s="21"/>
      <c r="AB189" s="21"/>
      <c r="AC189" s="21"/>
      <c r="AD189" s="47" t="str">
        <f>IF(Tabela2[[#This Row],[progresso_pct]] = 100,IFERROR((Tabela2[[#This Row],[Retorno Previsto $]]-Tabela2[[#This Row],[spent_capex]])/Tabela2[[#This Row],[spent_capex]]," ")," ")</f>
        <v xml:space="preserve"> </v>
      </c>
      <c r="AE189" s="21"/>
      <c r="AF189" s="21"/>
      <c r="AG189" s="21"/>
      <c r="AH189" s="21"/>
      <c r="AI189" s="21"/>
      <c r="AJ189" s="21"/>
      <c r="AK189" s="21"/>
      <c r="AL189" s="21"/>
      <c r="AM189" s="21">
        <f>IFERROR(Tabela2[[#This Row],[Data Fim PMO]]-Tabela2[[#This Row],[Data Pedido PMO]],"")</f>
        <v>0</v>
      </c>
      <c r="AN189" s="21"/>
      <c r="AO189" s="21"/>
      <c r="AP189" s="21" t="str">
        <f>IF(Tabela2[[#This Row],[Data Fim Prototipagem2]]=0," ",IFERROR(Tabela2[[#This Row],[Data Fim Prototipagem2]]-Tabela2[[#This Row],[Data Inicio Prototipagem]],""))</f>
        <v xml:space="preserve"> </v>
      </c>
      <c r="AQ189" s="21"/>
      <c r="AR189" s="21"/>
    </row>
    <row r="190" spans="1:44" x14ac:dyDescent="0.3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2"/>
      <c r="O190" s="22"/>
      <c r="P190" s="22"/>
      <c r="Q190" s="22"/>
      <c r="R190" s="22"/>
      <c r="S190" s="22"/>
      <c r="T190" s="39"/>
      <c r="U190" s="21"/>
      <c r="V190" s="21"/>
      <c r="W190" s="50">
        <f>((Tabela2[[#This Row],[Horas economizadas anuais]] / 12) / 4)</f>
        <v>0</v>
      </c>
      <c r="X190" s="21">
        <f>(_xlfn.XLOOKUP(Tabela2[[#This Row],[setor]],dim_custo_setor_horas!A:A,dim_custo_setor_horas!B:B))*Tabela2[[#This Row],[Horas economizadas anuais]]</f>
        <v>0</v>
      </c>
      <c r="Y190" s="21">
        <f>IF(Tabela2[[#This Row],[progresso_pct]]=100,Tabela2[[#This Row],[Retorno Previsto $]],0)</f>
        <v>0</v>
      </c>
      <c r="Z190" s="21"/>
      <c r="AA190" s="21"/>
      <c r="AB190" s="21"/>
      <c r="AC190" s="21"/>
      <c r="AD190" s="47" t="str">
        <f>IF(Tabela2[[#This Row],[progresso_pct]] = 100,IFERROR((Tabela2[[#This Row],[Retorno Previsto $]]-Tabela2[[#This Row],[spent_capex]])/Tabela2[[#This Row],[spent_capex]]," ")," ")</f>
        <v xml:space="preserve"> </v>
      </c>
      <c r="AE190" s="21"/>
      <c r="AF190" s="21"/>
      <c r="AG190" s="21"/>
      <c r="AH190" s="21"/>
      <c r="AI190" s="21"/>
      <c r="AJ190" s="21"/>
      <c r="AK190" s="21"/>
      <c r="AL190" s="21"/>
      <c r="AM190" s="21">
        <f>IFERROR(Tabela2[[#This Row],[Data Fim PMO]]-Tabela2[[#This Row],[Data Pedido PMO]],"")</f>
        <v>0</v>
      </c>
      <c r="AN190" s="21"/>
      <c r="AO190" s="21"/>
      <c r="AP190" s="21" t="str">
        <f>IF(Tabela2[[#This Row],[Data Fim Prototipagem2]]=0," ",IFERROR(Tabela2[[#This Row],[Data Fim Prototipagem2]]-Tabela2[[#This Row],[Data Inicio Prototipagem]],""))</f>
        <v xml:space="preserve"> </v>
      </c>
      <c r="AQ190" s="21"/>
      <c r="AR190" s="21"/>
    </row>
    <row r="191" spans="1:44" x14ac:dyDescent="0.3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2"/>
      <c r="O191" s="22"/>
      <c r="P191" s="22"/>
      <c r="Q191" s="22"/>
      <c r="R191" s="22"/>
      <c r="S191" s="22"/>
      <c r="T191" s="39"/>
      <c r="U191" s="21"/>
      <c r="V191" s="21"/>
      <c r="W191" s="50">
        <f>((Tabela2[[#This Row],[Horas economizadas anuais]] / 12) / 4)</f>
        <v>0</v>
      </c>
      <c r="X191" s="21">
        <f>(_xlfn.XLOOKUP(Tabela2[[#This Row],[setor]],dim_custo_setor_horas!A:A,dim_custo_setor_horas!B:B))*Tabela2[[#This Row],[Horas economizadas anuais]]</f>
        <v>0</v>
      </c>
      <c r="Y191" s="21">
        <f>IF(Tabela2[[#This Row],[progresso_pct]]=100,Tabela2[[#This Row],[Retorno Previsto $]],0)</f>
        <v>0</v>
      </c>
      <c r="Z191" s="21"/>
      <c r="AA191" s="21"/>
      <c r="AB191" s="21"/>
      <c r="AC191" s="21"/>
      <c r="AD191" s="47" t="str">
        <f>IF(Tabela2[[#This Row],[progresso_pct]] = 100,IFERROR((Tabela2[[#This Row],[Retorno Previsto $]]-Tabela2[[#This Row],[spent_capex]])/Tabela2[[#This Row],[spent_capex]]," ")," ")</f>
        <v xml:space="preserve"> </v>
      </c>
      <c r="AE191" s="21"/>
      <c r="AF191" s="21"/>
      <c r="AG191" s="21"/>
      <c r="AH191" s="21"/>
      <c r="AI191" s="21"/>
      <c r="AJ191" s="21"/>
      <c r="AK191" s="21"/>
      <c r="AL191" s="21"/>
      <c r="AM191" s="21">
        <f>IFERROR(Tabela2[[#This Row],[Data Fim PMO]]-Tabela2[[#This Row],[Data Pedido PMO]],"")</f>
        <v>0</v>
      </c>
      <c r="AN191" s="21"/>
      <c r="AO191" s="21"/>
      <c r="AP191" s="21" t="str">
        <f>IF(Tabela2[[#This Row],[Data Fim Prototipagem2]]=0," ",IFERROR(Tabela2[[#This Row],[Data Fim Prototipagem2]]-Tabela2[[#This Row],[Data Inicio Prototipagem]],""))</f>
        <v xml:space="preserve"> </v>
      </c>
      <c r="AQ191" s="21"/>
      <c r="AR191" s="21"/>
    </row>
    <row r="192" spans="1:44" x14ac:dyDescent="0.3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2"/>
      <c r="O192" s="22"/>
      <c r="P192" s="22"/>
      <c r="Q192" s="22"/>
      <c r="R192" s="22"/>
      <c r="S192" s="22"/>
      <c r="T192" s="39"/>
      <c r="U192" s="21"/>
      <c r="V192" s="21"/>
      <c r="W192" s="50">
        <f>((Tabela2[[#This Row],[Horas economizadas anuais]] / 12) / 4)</f>
        <v>0</v>
      </c>
      <c r="X192" s="21">
        <f>(_xlfn.XLOOKUP(Tabela2[[#This Row],[setor]],dim_custo_setor_horas!A:A,dim_custo_setor_horas!B:B))*Tabela2[[#This Row],[Horas economizadas anuais]]</f>
        <v>0</v>
      </c>
      <c r="Y192" s="21">
        <f>IF(Tabela2[[#This Row],[progresso_pct]]=100,Tabela2[[#This Row],[Retorno Previsto $]],0)</f>
        <v>0</v>
      </c>
      <c r="Z192" s="21"/>
      <c r="AA192" s="21"/>
      <c r="AB192" s="21"/>
      <c r="AC192" s="21"/>
      <c r="AD192" s="47" t="str">
        <f>IF(Tabela2[[#This Row],[progresso_pct]] = 100,IFERROR((Tabela2[[#This Row],[Retorno Previsto $]]-Tabela2[[#This Row],[spent_capex]])/Tabela2[[#This Row],[spent_capex]]," ")," ")</f>
        <v xml:space="preserve"> </v>
      </c>
      <c r="AE192" s="21"/>
      <c r="AF192" s="21"/>
      <c r="AG192" s="21"/>
      <c r="AH192" s="21"/>
      <c r="AI192" s="21"/>
      <c r="AJ192" s="21"/>
      <c r="AK192" s="21"/>
      <c r="AL192" s="21"/>
      <c r="AM192" s="21">
        <f>IFERROR(Tabela2[[#This Row],[Data Fim PMO]]-Tabela2[[#This Row],[Data Pedido PMO]],"")</f>
        <v>0</v>
      </c>
      <c r="AN192" s="21"/>
      <c r="AO192" s="21"/>
      <c r="AP192" s="21" t="str">
        <f>IF(Tabela2[[#This Row],[Data Fim Prototipagem2]]=0," ",IFERROR(Tabela2[[#This Row],[Data Fim Prototipagem2]]-Tabela2[[#This Row],[Data Inicio Prototipagem]],""))</f>
        <v xml:space="preserve"> </v>
      </c>
      <c r="AQ192" s="21"/>
      <c r="AR192" s="21"/>
    </row>
    <row r="193" spans="1:44" x14ac:dyDescent="0.3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2"/>
      <c r="O193" s="22"/>
      <c r="P193" s="22"/>
      <c r="Q193" s="22"/>
      <c r="R193" s="22"/>
      <c r="S193" s="22"/>
      <c r="T193" s="39"/>
      <c r="U193" s="21"/>
      <c r="V193" s="21"/>
      <c r="W193" s="50">
        <f>((Tabela2[[#This Row],[Horas economizadas anuais]] / 12) / 4)</f>
        <v>0</v>
      </c>
      <c r="X193" s="21">
        <f>(_xlfn.XLOOKUP(Tabela2[[#This Row],[setor]],dim_custo_setor_horas!A:A,dim_custo_setor_horas!B:B))*Tabela2[[#This Row],[Horas economizadas anuais]]</f>
        <v>0</v>
      </c>
      <c r="Y193" s="21">
        <f>IF(Tabela2[[#This Row],[progresso_pct]]=100,Tabela2[[#This Row],[Retorno Previsto $]],0)</f>
        <v>0</v>
      </c>
      <c r="Z193" s="21"/>
      <c r="AA193" s="21"/>
      <c r="AB193" s="21"/>
      <c r="AC193" s="21"/>
      <c r="AD193" s="47" t="str">
        <f>IF(Tabela2[[#This Row],[progresso_pct]] = 100,IFERROR((Tabela2[[#This Row],[Retorno Previsto $]]-Tabela2[[#This Row],[spent_capex]])/Tabela2[[#This Row],[spent_capex]]," ")," ")</f>
        <v xml:space="preserve"> </v>
      </c>
      <c r="AE193" s="21"/>
      <c r="AF193" s="21"/>
      <c r="AG193" s="21"/>
      <c r="AH193" s="21"/>
      <c r="AI193" s="21"/>
      <c r="AJ193" s="21"/>
      <c r="AK193" s="21"/>
      <c r="AL193" s="21"/>
      <c r="AM193" s="21">
        <f>IFERROR(Tabela2[[#This Row],[Data Fim PMO]]-Tabela2[[#This Row],[Data Pedido PMO]],"")</f>
        <v>0</v>
      </c>
      <c r="AN193" s="21"/>
      <c r="AO193" s="21"/>
      <c r="AP193" s="21" t="str">
        <f>IF(Tabela2[[#This Row],[Data Fim Prototipagem2]]=0," ",IFERROR(Tabela2[[#This Row],[Data Fim Prototipagem2]]-Tabela2[[#This Row],[Data Inicio Prototipagem]],""))</f>
        <v xml:space="preserve"> </v>
      </c>
      <c r="AQ193" s="21"/>
      <c r="AR193" s="21"/>
    </row>
    <row r="194" spans="1:44" x14ac:dyDescent="0.3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2"/>
      <c r="O194" s="22"/>
      <c r="P194" s="22"/>
      <c r="Q194" s="22"/>
      <c r="R194" s="22"/>
      <c r="S194" s="22"/>
      <c r="T194" s="39"/>
      <c r="U194" s="21"/>
      <c r="V194" s="21"/>
      <c r="W194" s="50">
        <f>((Tabela2[[#This Row],[Horas economizadas anuais]] / 12) / 4)</f>
        <v>0</v>
      </c>
      <c r="X194" s="21">
        <f>(_xlfn.XLOOKUP(Tabela2[[#This Row],[setor]],dim_custo_setor_horas!A:A,dim_custo_setor_horas!B:B))*Tabela2[[#This Row],[Horas economizadas anuais]]</f>
        <v>0</v>
      </c>
      <c r="Y194" s="21">
        <f>IF(Tabela2[[#This Row],[progresso_pct]]=100,Tabela2[[#This Row],[Retorno Previsto $]],0)</f>
        <v>0</v>
      </c>
      <c r="Z194" s="21"/>
      <c r="AA194" s="21"/>
      <c r="AB194" s="21"/>
      <c r="AC194" s="21"/>
      <c r="AD194" s="47" t="str">
        <f>IF(Tabela2[[#This Row],[progresso_pct]] = 100,IFERROR((Tabela2[[#This Row],[Retorno Previsto $]]-Tabela2[[#This Row],[spent_capex]])/Tabela2[[#This Row],[spent_capex]]," ")," ")</f>
        <v xml:space="preserve"> </v>
      </c>
      <c r="AE194" s="21"/>
      <c r="AF194" s="21"/>
      <c r="AG194" s="21"/>
      <c r="AH194" s="21"/>
      <c r="AI194" s="21"/>
      <c r="AJ194" s="21"/>
      <c r="AK194" s="21"/>
      <c r="AL194" s="21"/>
      <c r="AM194" s="21">
        <f>IFERROR(Tabela2[[#This Row],[Data Fim PMO]]-Tabela2[[#This Row],[Data Pedido PMO]],"")</f>
        <v>0</v>
      </c>
      <c r="AN194" s="21"/>
      <c r="AO194" s="21"/>
      <c r="AP194" s="21" t="str">
        <f>IF(Tabela2[[#This Row],[Data Fim Prototipagem2]]=0," ",IFERROR(Tabela2[[#This Row],[Data Fim Prototipagem2]]-Tabela2[[#This Row],[Data Inicio Prototipagem]],""))</f>
        <v xml:space="preserve"> </v>
      </c>
      <c r="AQ194" s="21"/>
      <c r="AR194" s="21"/>
    </row>
    <row r="195" spans="1:44" x14ac:dyDescent="0.3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2"/>
      <c r="O195" s="22"/>
      <c r="P195" s="22"/>
      <c r="Q195" s="22"/>
      <c r="R195" s="22"/>
      <c r="S195" s="22"/>
      <c r="T195" s="39"/>
      <c r="U195" s="21"/>
      <c r="V195" s="21"/>
      <c r="W195" s="50">
        <f>((Tabela2[[#This Row],[Horas economizadas anuais]] / 12) / 4)</f>
        <v>0</v>
      </c>
      <c r="X195" s="21">
        <f>(_xlfn.XLOOKUP(Tabela2[[#This Row],[setor]],dim_custo_setor_horas!A:A,dim_custo_setor_horas!B:B))*Tabela2[[#This Row],[Horas economizadas anuais]]</f>
        <v>0</v>
      </c>
      <c r="Y195" s="21">
        <f>IF(Tabela2[[#This Row],[progresso_pct]]=100,Tabela2[[#This Row],[Retorno Previsto $]],0)</f>
        <v>0</v>
      </c>
      <c r="Z195" s="21"/>
      <c r="AA195" s="21"/>
      <c r="AB195" s="21"/>
      <c r="AC195" s="21"/>
      <c r="AD195" s="47" t="str">
        <f>IF(Tabela2[[#This Row],[progresso_pct]] = 100,IFERROR((Tabela2[[#This Row],[Retorno Previsto $]]-Tabela2[[#This Row],[spent_capex]])/Tabela2[[#This Row],[spent_capex]]," ")," ")</f>
        <v xml:space="preserve"> </v>
      </c>
      <c r="AE195" s="21"/>
      <c r="AF195" s="21"/>
      <c r="AG195" s="21"/>
      <c r="AH195" s="21"/>
      <c r="AI195" s="21"/>
      <c r="AJ195" s="21"/>
      <c r="AK195" s="21"/>
      <c r="AL195" s="21"/>
      <c r="AM195" s="21">
        <f>IFERROR(Tabela2[[#This Row],[Data Fim PMO]]-Tabela2[[#This Row],[Data Pedido PMO]],"")</f>
        <v>0</v>
      </c>
      <c r="AN195" s="21"/>
      <c r="AO195" s="21"/>
      <c r="AP195" s="21" t="str">
        <f>IF(Tabela2[[#This Row],[Data Fim Prototipagem2]]=0," ",IFERROR(Tabela2[[#This Row],[Data Fim Prototipagem2]]-Tabela2[[#This Row],[Data Inicio Prototipagem]],""))</f>
        <v xml:space="preserve"> </v>
      </c>
      <c r="AQ195" s="21"/>
      <c r="AR195" s="21"/>
    </row>
    <row r="196" spans="1:44" x14ac:dyDescent="0.3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2"/>
      <c r="O196" s="22"/>
      <c r="P196" s="22"/>
      <c r="Q196" s="22"/>
      <c r="R196" s="22"/>
      <c r="S196" s="22"/>
      <c r="T196" s="39"/>
      <c r="U196" s="21"/>
      <c r="V196" s="21"/>
      <c r="W196" s="50">
        <f>((Tabela2[[#This Row],[Horas economizadas anuais]] / 12) / 4)</f>
        <v>0</v>
      </c>
      <c r="X196" s="21">
        <f>(_xlfn.XLOOKUP(Tabela2[[#This Row],[setor]],dim_custo_setor_horas!A:A,dim_custo_setor_horas!B:B))*Tabela2[[#This Row],[Horas economizadas anuais]]</f>
        <v>0</v>
      </c>
      <c r="Y196" s="21">
        <f>IF(Tabela2[[#This Row],[progresso_pct]]=100,Tabela2[[#This Row],[Retorno Previsto $]],0)</f>
        <v>0</v>
      </c>
      <c r="Z196" s="21"/>
      <c r="AA196" s="21"/>
      <c r="AB196" s="21"/>
      <c r="AC196" s="21"/>
      <c r="AD196" s="47" t="str">
        <f>IF(Tabela2[[#This Row],[progresso_pct]] = 100,IFERROR((Tabela2[[#This Row],[Retorno Previsto $]]-Tabela2[[#This Row],[spent_capex]])/Tabela2[[#This Row],[spent_capex]]," ")," ")</f>
        <v xml:space="preserve"> </v>
      </c>
      <c r="AE196" s="21"/>
      <c r="AF196" s="21"/>
      <c r="AG196" s="21"/>
      <c r="AH196" s="21"/>
      <c r="AI196" s="21"/>
      <c r="AJ196" s="21"/>
      <c r="AK196" s="21"/>
      <c r="AL196" s="21"/>
      <c r="AM196" s="21">
        <f>IFERROR(Tabela2[[#This Row],[Data Fim PMO]]-Tabela2[[#This Row],[Data Pedido PMO]],"")</f>
        <v>0</v>
      </c>
      <c r="AN196" s="21"/>
      <c r="AO196" s="21"/>
      <c r="AP196" s="21" t="str">
        <f>IF(Tabela2[[#This Row],[Data Fim Prototipagem2]]=0," ",IFERROR(Tabela2[[#This Row],[Data Fim Prototipagem2]]-Tabela2[[#This Row],[Data Inicio Prototipagem]],""))</f>
        <v xml:space="preserve"> </v>
      </c>
      <c r="AQ196" s="21"/>
      <c r="AR196" s="21"/>
    </row>
    <row r="197" spans="1:44" x14ac:dyDescent="0.3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2"/>
      <c r="O197" s="22"/>
      <c r="P197" s="22"/>
      <c r="Q197" s="22"/>
      <c r="R197" s="22"/>
      <c r="S197" s="22"/>
      <c r="T197" s="39"/>
      <c r="U197" s="21"/>
      <c r="V197" s="21"/>
      <c r="W197" s="50">
        <f>((Tabela2[[#This Row],[Horas economizadas anuais]] / 12) / 4)</f>
        <v>0</v>
      </c>
      <c r="X197" s="21">
        <f>(_xlfn.XLOOKUP(Tabela2[[#This Row],[setor]],dim_custo_setor_horas!A:A,dim_custo_setor_horas!B:B))*Tabela2[[#This Row],[Horas economizadas anuais]]</f>
        <v>0</v>
      </c>
      <c r="Y197" s="21">
        <f>IF(Tabela2[[#This Row],[progresso_pct]]=100,Tabela2[[#This Row],[Retorno Previsto $]],0)</f>
        <v>0</v>
      </c>
      <c r="Z197" s="21"/>
      <c r="AA197" s="21"/>
      <c r="AB197" s="21"/>
      <c r="AC197" s="21"/>
      <c r="AD197" s="47" t="str">
        <f>IF(Tabela2[[#This Row],[progresso_pct]] = 100,IFERROR((Tabela2[[#This Row],[Retorno Previsto $]]-Tabela2[[#This Row],[spent_capex]])/Tabela2[[#This Row],[spent_capex]]," ")," ")</f>
        <v xml:space="preserve"> </v>
      </c>
      <c r="AE197" s="21"/>
      <c r="AF197" s="21"/>
      <c r="AG197" s="21"/>
      <c r="AH197" s="21"/>
      <c r="AI197" s="21"/>
      <c r="AJ197" s="21"/>
      <c r="AK197" s="21"/>
      <c r="AL197" s="21"/>
      <c r="AM197" s="21">
        <f>IFERROR(Tabela2[[#This Row],[Data Fim PMO]]-Tabela2[[#This Row],[Data Pedido PMO]],"")</f>
        <v>0</v>
      </c>
      <c r="AN197" s="21"/>
      <c r="AO197" s="21"/>
      <c r="AP197" s="21" t="str">
        <f>IF(Tabela2[[#This Row],[Data Fim Prototipagem2]]=0," ",IFERROR(Tabela2[[#This Row],[Data Fim Prototipagem2]]-Tabela2[[#This Row],[Data Inicio Prototipagem]],""))</f>
        <v xml:space="preserve"> </v>
      </c>
      <c r="AQ197" s="21"/>
      <c r="AR197" s="21"/>
    </row>
    <row r="198" spans="1:44" x14ac:dyDescent="0.3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2"/>
      <c r="O198" s="22"/>
      <c r="P198" s="22"/>
      <c r="Q198" s="22"/>
      <c r="R198" s="22"/>
      <c r="S198" s="22"/>
      <c r="T198" s="39"/>
      <c r="U198" s="21"/>
      <c r="V198" s="21"/>
      <c r="W198" s="50">
        <f>((Tabela2[[#This Row],[Horas economizadas anuais]] / 12) / 4)</f>
        <v>0</v>
      </c>
      <c r="X198" s="21">
        <f>(_xlfn.XLOOKUP(Tabela2[[#This Row],[setor]],dim_custo_setor_horas!A:A,dim_custo_setor_horas!B:B))*Tabela2[[#This Row],[Horas economizadas anuais]]</f>
        <v>0</v>
      </c>
      <c r="Y198" s="21">
        <f>IF(Tabela2[[#This Row],[progresso_pct]]=100,Tabela2[[#This Row],[Retorno Previsto $]],0)</f>
        <v>0</v>
      </c>
      <c r="Z198" s="21"/>
      <c r="AA198" s="21"/>
      <c r="AB198" s="21"/>
      <c r="AC198" s="21"/>
      <c r="AD198" s="47" t="str">
        <f>IF(Tabela2[[#This Row],[progresso_pct]] = 100,IFERROR((Tabela2[[#This Row],[Retorno Previsto $]]-Tabela2[[#This Row],[spent_capex]])/Tabela2[[#This Row],[spent_capex]]," ")," ")</f>
        <v xml:space="preserve"> </v>
      </c>
      <c r="AE198" s="21"/>
      <c r="AF198" s="21"/>
      <c r="AG198" s="21"/>
      <c r="AH198" s="21"/>
      <c r="AI198" s="21"/>
      <c r="AJ198" s="21"/>
      <c r="AK198" s="21"/>
      <c r="AL198" s="21"/>
      <c r="AM198" s="21">
        <f>IFERROR(Tabela2[[#This Row],[Data Fim PMO]]-Tabela2[[#This Row],[Data Pedido PMO]],"")</f>
        <v>0</v>
      </c>
      <c r="AN198" s="21"/>
      <c r="AO198" s="21"/>
      <c r="AP198" s="21" t="str">
        <f>IF(Tabela2[[#This Row],[Data Fim Prototipagem2]]=0," ",IFERROR(Tabela2[[#This Row],[Data Fim Prototipagem2]]-Tabela2[[#This Row],[Data Inicio Prototipagem]],""))</f>
        <v xml:space="preserve"> </v>
      </c>
      <c r="AQ198" s="21"/>
      <c r="AR198" s="21"/>
    </row>
  </sheetData>
  <sheetProtection formatCells="0" formatColumns="0" formatRows="0" insertColumns="0" insertRows="0" insertHyperlinks="0" deleteRows="0" sort="0" autoFilter="0" pivotTables="0"/>
  <protectedRanges>
    <protectedRange sqref="AM5:AM6 AK2:AP2 AK3:AO4 AK29:AR30 AQ2:AQ8 AQ31 A31:AN31 AQ17 AK7:AO7 AM33:AR34 A32:AJ34 AQ13 AK13 A35:AR39 A41:AR198 A40:AO40 AQ40:AR40 A2:AJ30" name="Intervalo1"/>
  </protectedRanges>
  <phoneticPr fontId="6" type="noConversion"/>
  <conditionalFormatting sqref="A1:A1048576">
    <cfRule type="duplicateValues" dxfId="121" priority="230"/>
  </conditionalFormatting>
  <conditionalFormatting sqref="A2:AM29 AQ2:AR31 AN8:AP30 A30 C30:AM30 A31:AM31 A32:AR39 A40:AO40 AQ40:AR40 A41:AR198">
    <cfRule type="expression" dxfId="120" priority="180">
      <formula>$D2="Aguardando Triagem"</formula>
    </cfRule>
    <cfRule type="expression" dxfId="119" priority="179">
      <formula>$D2="Levantando Informação"</formula>
    </cfRule>
    <cfRule type="expression" dxfId="118" priority="178">
      <formula>$D2="Go Live"</formula>
    </cfRule>
    <cfRule type="expression" dxfId="117" priority="181">
      <formula>$D2="Backlog"</formula>
    </cfRule>
    <cfRule type="expression" dxfId="116" priority="188">
      <formula>$D2="Em produção"</formula>
    </cfRule>
    <cfRule type="expression" dxfId="115" priority="187">
      <formula>$D2="Entregue M1"</formula>
    </cfRule>
    <cfRule type="expression" dxfId="114" priority="186">
      <formula>$D2="Gerando documentação M1"</formula>
    </cfRule>
    <cfRule type="expression" dxfId="113" priority="185">
      <formula>$D2="Homologação"</formula>
    </cfRule>
    <cfRule type="expression" dxfId="112" priority="184">
      <formula>$D2="Desenvolvimento"</formula>
    </cfRule>
    <cfRule type="expression" dxfId="111" priority="183">
      <formula>$D2="Comitê Executivo"</formula>
    </cfRule>
    <cfRule type="expression" dxfId="110" priority="182">
      <formula>$D2="Prototipando"</formula>
    </cfRule>
  </conditionalFormatting>
  <conditionalFormatting sqref="B30">
    <cfRule type="expression" dxfId="109" priority="59">
      <formula>$D30="Backlog"</formula>
    </cfRule>
    <cfRule type="expression" dxfId="108" priority="56">
      <formula>$D30="Go Live"</formula>
    </cfRule>
    <cfRule type="expression" dxfId="107" priority="57">
      <formula>$D30="Levantando Informação"</formula>
    </cfRule>
    <cfRule type="expression" dxfId="106" priority="58">
      <formula>$D30="Aguardando Triagem"</formula>
    </cfRule>
    <cfRule type="expression" dxfId="105" priority="60">
      <formula>$D30="Prototipando"</formula>
    </cfRule>
    <cfRule type="expression" dxfId="104" priority="61">
      <formula>$D30="Comitê Executivo"</formula>
    </cfRule>
    <cfRule type="expression" dxfId="103" priority="62">
      <formula>$D30="Desenvolvimento"</formula>
    </cfRule>
    <cfRule type="expression" dxfId="102" priority="63">
      <formula>$D30="Homologação"</formula>
    </cfRule>
    <cfRule type="expression" dxfId="101" priority="64">
      <formula>$D30="Gerando documentação M1"</formula>
    </cfRule>
    <cfRule type="expression" dxfId="100" priority="65">
      <formula>$D30="Entregue M1"</formula>
    </cfRule>
    <cfRule type="expression" dxfId="99" priority="66">
      <formula>$D30="Em produção"</formula>
    </cfRule>
  </conditionalFormatting>
  <conditionalFormatting sqref="AN5:AN7">
    <cfRule type="expression" dxfId="98" priority="104">
      <formula>$D5="Prototipando"</formula>
    </cfRule>
    <cfRule type="expression" dxfId="97" priority="103">
      <formula>$D5="Backlog"</formula>
    </cfRule>
    <cfRule type="expression" dxfId="96" priority="102">
      <formula>$D5="Aguardando Triagem"</formula>
    </cfRule>
    <cfRule type="expression" dxfId="95" priority="100">
      <formula>$D5="Go Live"</formula>
    </cfRule>
    <cfRule type="expression" dxfId="94" priority="101">
      <formula>$D5="Levantando Informação"</formula>
    </cfRule>
    <cfRule type="expression" dxfId="93" priority="108">
      <formula>$D5="Gerando documentação M1"</formula>
    </cfRule>
    <cfRule type="expression" dxfId="92" priority="110">
      <formula>$D5="Em produção"</formula>
    </cfRule>
    <cfRule type="expression" dxfId="91" priority="109">
      <formula>$D5="Entregue M1"</formula>
    </cfRule>
    <cfRule type="expression" dxfId="90" priority="107">
      <formula>$D5="Homologação"</formula>
    </cfRule>
    <cfRule type="expression" dxfId="89" priority="106">
      <formula>$D5="Desenvolvimento"</formula>
    </cfRule>
    <cfRule type="expression" dxfId="88" priority="105">
      <formula>$D5="Comitê Executivo"</formula>
    </cfRule>
  </conditionalFormatting>
  <conditionalFormatting sqref="AN31">
    <cfRule type="expression" dxfId="87" priority="31">
      <formula>$D31="Gerando documentação M1"</formula>
    </cfRule>
    <cfRule type="expression" dxfId="86" priority="29">
      <formula>$D31="Desenvolvimento"</formula>
    </cfRule>
    <cfRule type="expression" dxfId="85" priority="28">
      <formula>$D31="Comitê Executivo"</formula>
    </cfRule>
    <cfRule type="expression" dxfId="84" priority="32">
      <formula>$D31="Entregue M1"</formula>
    </cfRule>
    <cfRule type="expression" dxfId="83" priority="33">
      <formula>$D31="Em produção"</formula>
    </cfRule>
    <cfRule type="expression" dxfId="82" priority="26">
      <formula>$D31="Backlog"</formula>
    </cfRule>
    <cfRule type="expression" dxfId="81" priority="25">
      <formula>$D31="Aguardando Triagem"</formula>
    </cfRule>
    <cfRule type="expression" dxfId="80" priority="24">
      <formula>$D31="Levantando Informação"</formula>
    </cfRule>
    <cfRule type="expression" dxfId="79" priority="27">
      <formula>$D31="Prototipando"</formula>
    </cfRule>
    <cfRule type="expression" dxfId="78" priority="23">
      <formula>$D31="Go Live"</formula>
    </cfRule>
    <cfRule type="expression" dxfId="77" priority="30">
      <formula>$D31="Homologação"</formula>
    </cfRule>
  </conditionalFormatting>
  <conditionalFormatting sqref="AN2:AO4">
    <cfRule type="expression" dxfId="76" priority="144">
      <formula>$D2="Em produção"</formula>
    </cfRule>
    <cfRule type="expression" dxfId="75" priority="143">
      <formula>$D2="Entregue M1"</formula>
    </cfRule>
    <cfRule type="expression" dxfId="74" priority="142">
      <formula>$D2="Gerando documentação M1"</formula>
    </cfRule>
    <cfRule type="expression" dxfId="73" priority="140">
      <formula>$D2="Desenvolvimento"</formula>
    </cfRule>
    <cfRule type="expression" dxfId="72" priority="139">
      <formula>$D2="Comitê Executivo"</formula>
    </cfRule>
    <cfRule type="expression" dxfId="71" priority="134">
      <formula>$D2="Go Live"</formula>
    </cfRule>
    <cfRule type="expression" dxfId="70" priority="138">
      <formula>$D2="Prototipando"</formula>
    </cfRule>
    <cfRule type="expression" dxfId="69" priority="141">
      <formula>$D2="Homologação"</formula>
    </cfRule>
    <cfRule type="expression" dxfId="68" priority="135">
      <formula>$D2="Levantando Informação"</formula>
    </cfRule>
    <cfRule type="expression" dxfId="67" priority="136">
      <formula>$D2="Aguardando Triagem"</formula>
    </cfRule>
    <cfRule type="expression" dxfId="66" priority="137">
      <formula>$D2="Backlog"</formula>
    </cfRule>
  </conditionalFormatting>
  <conditionalFormatting sqref="AO7">
    <cfRule type="expression" dxfId="65" priority="12">
      <formula>$D7="Go Live"</formula>
    </cfRule>
    <cfRule type="expression" dxfId="64" priority="13">
      <formula>$D7="Levantando Informação"</formula>
    </cfRule>
    <cfRule type="expression" dxfId="63" priority="15">
      <formula>$D7="Backlog"</formula>
    </cfRule>
    <cfRule type="expression" dxfId="62" priority="16">
      <formula>$D7="Prototipando"</formula>
    </cfRule>
    <cfRule type="expression" dxfId="61" priority="17">
      <formula>$D7="Comitê Executivo"</formula>
    </cfRule>
    <cfRule type="expression" dxfId="60" priority="18">
      <formula>$D7="Desenvolvimento"</formula>
    </cfRule>
    <cfRule type="expression" dxfId="59" priority="19">
      <formula>$D7="Homologação"</formula>
    </cfRule>
    <cfRule type="expression" dxfId="58" priority="20">
      <formula>$D7="Gerando documentação M1"</formula>
    </cfRule>
    <cfRule type="expression" dxfId="57" priority="21">
      <formula>$D7="Entregue M1"</formula>
    </cfRule>
    <cfRule type="expression" dxfId="56" priority="22">
      <formula>$D7="Em produção"</formula>
    </cfRule>
    <cfRule type="expression" dxfId="55" priority="14">
      <formula>$D7="Aguardando Triagem"</formula>
    </cfRule>
  </conditionalFormatting>
  <conditionalFormatting sqref="AO5:AP6 AP7">
    <cfRule type="expression" dxfId="54" priority="167">
      <formula>$D5="Go Live"</formula>
    </cfRule>
    <cfRule type="expression" dxfId="53" priority="176">
      <formula>$D5="Entregue M1"</formula>
    </cfRule>
    <cfRule type="expression" dxfId="52" priority="177">
      <formula>$D5="Em produção"</formula>
    </cfRule>
    <cfRule type="expression" dxfId="51" priority="175">
      <formula>$D5="Gerando documentação M1"</formula>
    </cfRule>
    <cfRule type="expression" dxfId="50" priority="174">
      <formula>$D5="Homologação"</formula>
    </cfRule>
    <cfRule type="expression" dxfId="49" priority="173">
      <formula>$D5="Desenvolvimento"</formula>
    </cfRule>
    <cfRule type="expression" dxfId="48" priority="172">
      <formula>$D5="Comitê Executivo"</formula>
    </cfRule>
    <cfRule type="expression" dxfId="47" priority="168">
      <formula>$D5="Levantando Informação"</formula>
    </cfRule>
    <cfRule type="expression" dxfId="46" priority="171">
      <formula>$D5="Prototipando"</formula>
    </cfRule>
    <cfRule type="expression" dxfId="45" priority="170">
      <formula>$D5="Backlog"</formula>
    </cfRule>
    <cfRule type="expression" dxfId="44" priority="169">
      <formula>$D5="Aguardando Triagem"</formula>
    </cfRule>
  </conditionalFormatting>
  <conditionalFormatting sqref="AO31:AP31">
    <cfRule type="expression" dxfId="43" priority="42">
      <formula>$D31="Gerando documentação M1"</formula>
    </cfRule>
    <cfRule type="expression" dxfId="42" priority="38">
      <formula>$D31="Prototipando"</formula>
    </cfRule>
    <cfRule type="expression" dxfId="41" priority="41">
      <formula>$D31="Homologação"</formula>
    </cfRule>
    <cfRule type="expression" dxfId="40" priority="40">
      <formula>$D31="Desenvolvimento"</formula>
    </cfRule>
    <cfRule type="expression" dxfId="39" priority="39">
      <formula>$D31="Comitê Executivo"</formula>
    </cfRule>
    <cfRule type="expression" dxfId="38" priority="37">
      <formula>$D31="Backlog"</formula>
    </cfRule>
    <cfRule type="expression" dxfId="37" priority="36">
      <formula>$D31="Aguardando Triagem"</formula>
    </cfRule>
    <cfRule type="expression" dxfId="36" priority="35">
      <formula>$D31="Levantando Informação"</formula>
    </cfRule>
    <cfRule type="expression" dxfId="35" priority="34">
      <formula>$D31="Go Live"</formula>
    </cfRule>
    <cfRule type="expression" dxfId="34" priority="43">
      <formula>$D31="Entregue M1"</formula>
    </cfRule>
    <cfRule type="expression" dxfId="33" priority="44">
      <formula>$D31="Em produção"</formula>
    </cfRule>
  </conditionalFormatting>
  <conditionalFormatting sqref="AP2:AP4">
    <cfRule type="expression" dxfId="32" priority="78">
      <formula>$D2="Go Live"</formula>
    </cfRule>
    <cfRule type="expression" dxfId="31" priority="79">
      <formula>$D2="Levantando Informação"</formula>
    </cfRule>
    <cfRule type="expression" dxfId="30" priority="81">
      <formula>$D2="Backlog"</formula>
    </cfRule>
    <cfRule type="expression" dxfId="29" priority="82">
      <formula>$D2="Prototipando"</formula>
    </cfRule>
    <cfRule type="expression" dxfId="28" priority="83">
      <formula>$D2="Comitê Executivo"</formula>
    </cfRule>
    <cfRule type="expression" dxfId="27" priority="84">
      <formula>$D2="Desenvolvimento"</formula>
    </cfRule>
    <cfRule type="expression" dxfId="26" priority="80">
      <formula>$D2="Aguardando Triagem"</formula>
    </cfRule>
    <cfRule type="expression" dxfId="25" priority="86">
      <formula>$D2="Gerando documentação M1"</formula>
    </cfRule>
    <cfRule type="expression" dxfId="24" priority="87">
      <formula>$D2="Entregue M1"</formula>
    </cfRule>
    <cfRule type="expression" dxfId="23" priority="88">
      <formula>$D2="Em produção"</formula>
    </cfRule>
    <cfRule type="expression" dxfId="22" priority="85">
      <formula>$D2="Homologação"</formula>
    </cfRule>
  </conditionalFormatting>
  <conditionalFormatting sqref="AP40">
    <cfRule type="expression" dxfId="21" priority="1">
      <formula>$D40="Go Live"</formula>
    </cfRule>
    <cfRule type="expression" dxfId="20" priority="11">
      <formula>$D40="Em produção"</formula>
    </cfRule>
    <cfRule type="expression" dxfId="19" priority="4">
      <formula>$D40="Backlog"</formula>
    </cfRule>
    <cfRule type="expression" dxfId="18" priority="6">
      <formula>$D40="Comitê Executivo"</formula>
    </cfRule>
    <cfRule type="expression" dxfId="17" priority="5">
      <formula>$D40="Prototipando"</formula>
    </cfRule>
    <cfRule type="expression" dxfId="16" priority="7">
      <formula>$D40="Desenvolvimento"</formula>
    </cfRule>
    <cfRule type="expression" dxfId="15" priority="8">
      <formula>$D40="Homologação"</formula>
    </cfRule>
    <cfRule type="expression" dxfId="14" priority="2">
      <formula>$D40="Levantando Informação"</formula>
    </cfRule>
    <cfRule type="expression" dxfId="13" priority="9">
      <formula>$D40="Gerando documentação M1"</formula>
    </cfRule>
    <cfRule type="expression" dxfId="12" priority="10">
      <formula>$D40="Entregue M1"</formula>
    </cfRule>
    <cfRule type="expression" dxfId="11" priority="3">
      <formula>$D40="Aguardando Triagem"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3F07786D-DE41-4075-8AC4-3250895A5165}">
          <x14:formula1>
            <xm:f>membros_nucleo!$B$2:$B$10</xm:f>
          </x14:formula1>
          <xm:sqref>I31:I35 I37:I40 I2:I28 H2:H198</xm:sqref>
        </x14:dataValidation>
        <x14:dataValidation type="list" allowBlank="1" showInputMessage="1" showErrorMessage="1" xr:uid="{1580AFCB-3938-4667-AF96-CC3E64DF9DB2}">
          <x14:formula1>
            <xm:f>validacao_lista!$A34:$A1032</xm:f>
          </x14:formula1>
          <xm:sqref>A33:A1048573</xm:sqref>
        </x14:dataValidation>
        <x14:dataValidation type="list" allowBlank="1" showInputMessage="1" showErrorMessage="1" xr:uid="{33C7780C-8165-4DBE-8570-CD2AB787A104}">
          <x14:formula1>
            <xm:f>validacao_lista!$A995:$A1048573</xm:f>
          </x14:formula1>
          <xm:sqref>A1048574:A1048576</xm:sqref>
        </x14:dataValidation>
        <x14:dataValidation type="list" allowBlank="1" showInputMessage="1" showErrorMessage="1" xr:uid="{826252BD-A11C-4992-B9C5-0A9D9E282A53}">
          <x14:formula1>
            <xm:f>validacao_lista!$C$2:$C$8</xm:f>
          </x14:formula1>
          <xm:sqref>C2:C1048576</xm:sqref>
        </x14:dataValidation>
        <x14:dataValidation type="list" allowBlank="1" showInputMessage="1" showErrorMessage="1" xr:uid="{4713AC6B-CF50-4316-80F2-F06F6BD2C025}">
          <x14:formula1>
            <xm:f>validacao_lista!$D$2:$D$14</xm:f>
          </x14:formula1>
          <xm:sqref>D2:D198</xm:sqref>
        </x14:dataValidation>
        <x14:dataValidation type="list" allowBlank="1" showInputMessage="1" showErrorMessage="1" xr:uid="{B61C156B-A7B5-4754-8F8A-0953D6B7C65D}">
          <x14:formula1>
            <xm:f>validacao_lista!$F$2:$F$11</xm:f>
          </x14:formula1>
          <xm:sqref>F2:F198</xm:sqref>
        </x14:dataValidation>
        <x14:dataValidation type="list" allowBlank="1" showInputMessage="1" showErrorMessage="1" xr:uid="{36EBA18F-3556-4335-9081-C8595A6636A7}">
          <x14:formula1>
            <xm:f>dim_pessoas!$D$2:$D$844</xm:f>
          </x14:formula1>
          <xm:sqref>L2:L198</xm:sqref>
        </x14:dataValidation>
        <x14:dataValidation type="list" allowBlank="1" showInputMessage="1" showErrorMessage="1" xr:uid="{C3D57360-4035-4F54-85DE-26385475EBB2}">
          <x14:formula1>
            <xm:f>validacao_lista!$A2:$A999</xm:f>
          </x14:formula1>
          <xm:sqref>A2:A23</xm:sqref>
        </x14:dataValidation>
        <x14:dataValidation type="list" allowBlank="1" showInputMessage="1" showErrorMessage="1" xr:uid="{A5527B1B-2329-4B31-A1AD-BF0C8CA2FBE9}">
          <x14:formula1>
            <xm:f>validacao_lista!$A25:$A1022</xm:f>
          </x14:formula1>
          <xm:sqref>A24:A32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showGridLines="0" zoomScale="175" zoomScaleNormal="175" workbookViewId="0">
      <pane ySplit="1" topLeftCell="A2" activePane="bottomLeft" state="frozen"/>
      <selection pane="bottomLeft" activeCell="C8" sqref="C8"/>
    </sheetView>
  </sheetViews>
  <sheetFormatPr defaultRowHeight="14.5" x14ac:dyDescent="0.35"/>
  <cols>
    <col min="1" max="1" width="10" customWidth="1"/>
    <col min="2" max="2" width="22" customWidth="1"/>
    <col min="3" max="4" width="18" customWidth="1"/>
    <col min="5" max="5" width="13.54296875" bestFit="1" customWidth="1"/>
    <col min="6" max="6" width="12" customWidth="1"/>
    <col min="7" max="7" width="23.81640625" customWidth="1"/>
    <col min="8" max="9" width="14" customWidth="1"/>
  </cols>
  <sheetData>
    <row r="1" spans="1:9" ht="30" customHeight="1" x14ac:dyDescent="0.35">
      <c r="A1" s="24" t="s">
        <v>0</v>
      </c>
      <c r="B1" s="24" t="s">
        <v>1</v>
      </c>
      <c r="C1" s="24" t="s">
        <v>239</v>
      </c>
      <c r="D1" s="25" t="s">
        <v>11</v>
      </c>
      <c r="E1" s="24" t="s">
        <v>2</v>
      </c>
      <c r="F1" s="24" t="s">
        <v>240</v>
      </c>
      <c r="G1" s="24" t="s">
        <v>241</v>
      </c>
      <c r="H1" s="24" t="s">
        <v>242</v>
      </c>
      <c r="I1" s="24" t="s">
        <v>243</v>
      </c>
    </row>
    <row r="2" spans="1:9" x14ac:dyDescent="0.35">
      <c r="A2" s="26" t="s">
        <v>244</v>
      </c>
      <c r="B2" s="26" t="s">
        <v>49</v>
      </c>
      <c r="C2" s="26" t="s">
        <v>245</v>
      </c>
      <c r="D2" s="31" t="s">
        <v>246</v>
      </c>
      <c r="E2" s="26" t="s">
        <v>140</v>
      </c>
      <c r="F2" s="26">
        <v>1</v>
      </c>
      <c r="G2" s="26">
        <v>128</v>
      </c>
      <c r="H2" s="32">
        <v>100</v>
      </c>
      <c r="I2" s="28">
        <v>45962</v>
      </c>
    </row>
    <row r="3" spans="1:9" x14ac:dyDescent="0.35">
      <c r="A3" s="26" t="s">
        <v>247</v>
      </c>
      <c r="B3" s="31" t="s">
        <v>81</v>
      </c>
      <c r="C3" s="31" t="s">
        <v>248</v>
      </c>
      <c r="D3" s="31" t="s">
        <v>246</v>
      </c>
      <c r="E3" s="26" t="s">
        <v>107</v>
      </c>
      <c r="F3" s="26">
        <v>1</v>
      </c>
      <c r="G3" s="26">
        <v>60</v>
      </c>
      <c r="H3" s="32">
        <v>100</v>
      </c>
      <c r="I3" s="28">
        <v>46023</v>
      </c>
    </row>
    <row r="4" spans="1:9" x14ac:dyDescent="0.35">
      <c r="A4" s="26" t="s">
        <v>249</v>
      </c>
      <c r="B4" s="26" t="s">
        <v>69</v>
      </c>
      <c r="C4" s="26" t="s">
        <v>250</v>
      </c>
      <c r="D4" s="31" t="s">
        <v>246</v>
      </c>
      <c r="E4" s="26" t="s">
        <v>61</v>
      </c>
      <c r="F4" s="26">
        <v>1</v>
      </c>
      <c r="G4" s="26">
        <v>140</v>
      </c>
      <c r="H4" s="32">
        <v>100</v>
      </c>
      <c r="I4" s="28">
        <v>46054</v>
      </c>
    </row>
    <row r="5" spans="1:9" x14ac:dyDescent="0.35">
      <c r="A5" s="26" t="s">
        <v>251</v>
      </c>
      <c r="B5" s="26" t="s">
        <v>57</v>
      </c>
      <c r="C5" s="26" t="s">
        <v>250</v>
      </c>
      <c r="D5" s="31" t="s">
        <v>246</v>
      </c>
      <c r="E5" s="26" t="s">
        <v>46</v>
      </c>
      <c r="F5" s="26">
        <v>1</v>
      </c>
      <c r="G5" s="26">
        <v>140</v>
      </c>
      <c r="H5" s="32">
        <v>100</v>
      </c>
      <c r="I5" s="28">
        <v>46054</v>
      </c>
    </row>
    <row r="6" spans="1:9" x14ac:dyDescent="0.35">
      <c r="A6" s="26" t="s">
        <v>252</v>
      </c>
      <c r="B6" s="31" t="s">
        <v>253</v>
      </c>
      <c r="C6" s="31" t="s">
        <v>254</v>
      </c>
      <c r="D6" s="31" t="s">
        <v>246</v>
      </c>
      <c r="E6" s="26" t="s">
        <v>107</v>
      </c>
      <c r="F6" s="26">
        <v>1</v>
      </c>
      <c r="G6" s="31">
        <v>100</v>
      </c>
      <c r="H6" s="32">
        <v>100</v>
      </c>
      <c r="I6" s="28">
        <v>46082</v>
      </c>
    </row>
    <row r="7" spans="1:9" x14ac:dyDescent="0.35">
      <c r="A7" s="26"/>
      <c r="B7" s="31"/>
      <c r="C7" s="31"/>
      <c r="D7" s="31"/>
      <c r="E7" s="26"/>
      <c r="F7" s="26"/>
      <c r="G7" s="31"/>
      <c r="H7" s="32"/>
      <c r="I7" s="28"/>
    </row>
    <row r="8" spans="1:9" x14ac:dyDescent="0.35">
      <c r="A8" s="26"/>
      <c r="B8" s="31"/>
      <c r="C8" s="31"/>
      <c r="D8" s="31"/>
      <c r="E8" s="26"/>
      <c r="F8" s="26"/>
      <c r="G8" s="31"/>
      <c r="H8" s="32"/>
      <c r="I8" s="28"/>
    </row>
    <row r="9" spans="1:9" x14ac:dyDescent="0.35">
      <c r="A9" s="26"/>
      <c r="B9" s="31"/>
      <c r="C9" s="31"/>
      <c r="D9" s="31"/>
      <c r="E9" s="26"/>
      <c r="F9" s="26"/>
      <c r="G9" s="31"/>
      <c r="H9" s="32"/>
      <c r="I9" s="28"/>
    </row>
    <row r="10" spans="1:9" x14ac:dyDescent="0.35">
      <c r="A10" s="26"/>
      <c r="B10" s="31"/>
      <c r="C10" s="31"/>
      <c r="D10" s="31"/>
      <c r="E10" s="26"/>
      <c r="F10" s="26"/>
      <c r="G10" s="31"/>
      <c r="H10" s="32"/>
      <c r="I10" s="28"/>
    </row>
    <row r="11" spans="1:9" x14ac:dyDescent="0.35">
      <c r="A11" s="29"/>
      <c r="B11" s="29"/>
      <c r="C11" s="29"/>
      <c r="D11" s="29"/>
      <c r="E11" s="29"/>
      <c r="F11" s="29"/>
      <c r="G11" s="29"/>
      <c r="H11" s="29"/>
      <c r="I11" s="29"/>
    </row>
    <row r="12" spans="1:9" x14ac:dyDescent="0.35">
      <c r="A12" s="29"/>
      <c r="B12" s="29"/>
      <c r="C12" s="29"/>
      <c r="D12" s="29"/>
      <c r="E12" s="29"/>
      <c r="F12" s="29"/>
      <c r="G12" s="29"/>
      <c r="H12" s="29"/>
      <c r="I12" s="29"/>
    </row>
    <row r="13" spans="1:9" x14ac:dyDescent="0.35">
      <c r="A13" s="29"/>
      <c r="B13" s="29"/>
      <c r="C13" s="29"/>
      <c r="D13" s="29"/>
      <c r="E13" s="29"/>
      <c r="F13" s="29"/>
      <c r="G13" s="29"/>
      <c r="H13" s="29"/>
      <c r="I13" s="29"/>
    </row>
    <row r="14" spans="1:9" x14ac:dyDescent="0.35">
      <c r="A14" s="29"/>
      <c r="B14" s="29"/>
      <c r="C14" s="29"/>
      <c r="D14" s="29"/>
      <c r="E14" s="29"/>
      <c r="F14" s="29"/>
      <c r="G14" s="29"/>
      <c r="H14" s="29"/>
      <c r="I14" s="29"/>
    </row>
    <row r="15" spans="1:9" x14ac:dyDescent="0.35">
      <c r="A15" s="29"/>
      <c r="B15" s="29"/>
      <c r="C15" s="29"/>
      <c r="D15" s="29"/>
      <c r="E15" s="29"/>
      <c r="F15" s="29"/>
      <c r="G15" s="29"/>
      <c r="H15" s="29"/>
      <c r="I15" s="29"/>
    </row>
  </sheetData>
  <sheetProtection algorithmName="SHA-512" hashValue="7Ynnx5EG/pEBMj7KSnVR8YjciqPFvKhKRivTURy7HnIqF4EoXICUao92YJ1HoTR1f78gIlOwfRezaImxgedIzA==" saltValue="sFxK/zKHIZMU3TGAYePxIg==" spinCount="100000" sheet="1" objects="1" scenarios="1" insertRows="0" deleteRows="0" sort="0" autoFilter="0"/>
  <protectedRanges>
    <protectedRange sqref="A2:I22" name="Intervalo1"/>
  </protectedRanges>
  <phoneticPr fontId="6" type="noConversion"/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FE458C2-12AB-4D15-A30F-D2686FED131B}">
          <x14:formula1>
            <xm:f>validacao_lista!$C$2:$C$6</xm:f>
          </x14:formula1>
          <xm:sqref>E2:E15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7"/>
  <sheetViews>
    <sheetView showGridLines="0" zoomScaleNormal="100" workbookViewId="0">
      <pane ySplit="1" topLeftCell="A7" activePane="bottomLeft" state="frozen"/>
      <selection pane="bottomLeft" activeCell="P13" sqref="P13"/>
    </sheetView>
  </sheetViews>
  <sheetFormatPr defaultRowHeight="14.5" x14ac:dyDescent="0.35"/>
  <cols>
    <col min="1" max="1" width="7.453125" bestFit="1" customWidth="1"/>
    <col min="2" max="2" width="14.81640625" bestFit="1" customWidth="1"/>
    <col min="3" max="3" width="18.1796875" bestFit="1" customWidth="1"/>
    <col min="4" max="4" width="14.81640625" customWidth="1"/>
    <col min="5" max="5" width="25.26953125" bestFit="1" customWidth="1"/>
    <col min="6" max="6" width="13.7265625" customWidth="1"/>
    <col min="7" max="7" width="19.1796875" customWidth="1"/>
    <col min="8" max="9" width="14" customWidth="1"/>
    <col min="10" max="10" width="10" customWidth="1"/>
    <col min="11" max="11" width="11.453125" customWidth="1"/>
  </cols>
  <sheetData>
    <row r="1" spans="1:10" ht="30" customHeight="1" x14ac:dyDescent="0.35">
      <c r="A1" s="24" t="s">
        <v>0</v>
      </c>
      <c r="B1" s="24" t="s">
        <v>255</v>
      </c>
      <c r="C1" s="24" t="s">
        <v>256</v>
      </c>
      <c r="D1" s="24" t="s">
        <v>257</v>
      </c>
      <c r="E1" s="24" t="s">
        <v>258</v>
      </c>
      <c r="F1" s="17" t="s">
        <v>2</v>
      </c>
      <c r="G1" s="24" t="s">
        <v>259</v>
      </c>
      <c r="H1" s="24" t="s">
        <v>13</v>
      </c>
      <c r="I1" s="24" t="s">
        <v>14</v>
      </c>
      <c r="J1" s="24" t="s">
        <v>240</v>
      </c>
    </row>
    <row r="2" spans="1:10" x14ac:dyDescent="0.35">
      <c r="A2" s="26" t="s">
        <v>260</v>
      </c>
      <c r="B2" s="26" t="str">
        <f>IFERROR(_xlfn.XLOOKUP(Tabela4[[#This Row],[membro_nome]],Tabela3[nome],Tabela3[id])," ")</f>
        <v>MBR-001</v>
      </c>
      <c r="C2" s="26" t="s">
        <v>49</v>
      </c>
      <c r="D2" s="26" t="str">
        <f>IFERROR(_xlfn.XLOOKUP(Tabela4[[#This Row],[projeto_nome]],projetos!B:B,projetos!A:A)," ")</f>
        <v>PRJ-001</v>
      </c>
      <c r="E2" s="26" t="s">
        <v>79</v>
      </c>
      <c r="F2" s="26" t="str">
        <f>IF(Tabela4[[#This Row],[projeto_nome]]=0," ",_xlfn.XLOOKUP(Tabela4[[#This Row],[projeto_nome]],projetos!B:B,projetos!C:C))</f>
        <v>BI &amp; Eng. Dados</v>
      </c>
      <c r="G2" s="27">
        <f>_xlfn.XLOOKUP(F2,dim_custo_setor_horas!$E$1:$E$8,dim_custo_setor_horas!$F$1:$F$8," ")</f>
        <v>20</v>
      </c>
      <c r="H2" s="28">
        <f>IF(Tabela4[[#This Row],[projeto_nome]]=0," ",_xlfn.XLOOKUP(Tabela4[[#This Row],[projeto_id]],projetos!A:A,projetos!N:N," "))</f>
        <v>45992</v>
      </c>
      <c r="I2" s="28">
        <f>_xlfn.XLOOKUP(Tabela4[[#This Row],[projeto_id]],projetos!A:A,projetos!O:O," ")</f>
        <v>46112</v>
      </c>
      <c r="J2" s="26">
        <v>1</v>
      </c>
    </row>
    <row r="3" spans="1:10" x14ac:dyDescent="0.35">
      <c r="A3" s="26" t="s">
        <v>261</v>
      </c>
      <c r="B3" s="26" t="str">
        <f>IFERROR(_xlfn.XLOOKUP(Tabela4[[#This Row],[membro_nome]],Tabela3[nome],Tabela3[id])," ")</f>
        <v>MBR-001</v>
      </c>
      <c r="C3" s="26" t="s">
        <v>49</v>
      </c>
      <c r="D3" s="26" t="str">
        <f>IFERROR(_xlfn.XLOOKUP(Tabela4[[#This Row],[projeto_nome]],projetos!B:B,projetos!A:A)," ")</f>
        <v>PRJ-002</v>
      </c>
      <c r="E3" s="26" t="s">
        <v>88</v>
      </c>
      <c r="F3" s="26" t="str">
        <f>IF(Tabela4[[#This Row],[projeto_nome]]=0," ",_xlfn.XLOOKUP(Tabela4[[#This Row],[projeto_nome]],projetos!B:B,projetos!C:C))</f>
        <v>BI &amp; Eng. Dados</v>
      </c>
      <c r="G3" s="27">
        <v>15</v>
      </c>
      <c r="H3" s="28">
        <f>IF(Tabela4[[#This Row],[projeto_nome]]=0," ",_xlfn.XLOOKUP(Tabela4[[#This Row],[projeto_id]],projetos!A:A,projetos!N:N," "))</f>
        <v>46054</v>
      </c>
      <c r="I3" s="28">
        <f>_xlfn.XLOOKUP(Tabela4[[#This Row],[projeto_id]],projetos!A:A,projetos!O:O," ")</f>
        <v>46112</v>
      </c>
      <c r="J3" s="26">
        <v>1</v>
      </c>
    </row>
    <row r="4" spans="1:10" x14ac:dyDescent="0.35">
      <c r="A4" s="26" t="s">
        <v>262</v>
      </c>
      <c r="B4" s="26" t="str">
        <f>IFERROR(_xlfn.XLOOKUP(Tabela4[[#This Row],[membro_nome]],Tabela3[nome],Tabela3[id])," ")</f>
        <v>MBR-001</v>
      </c>
      <c r="C4" s="26" t="s">
        <v>49</v>
      </c>
      <c r="D4" s="26" t="str">
        <f>IFERROR(_xlfn.XLOOKUP(Tabela4[[#This Row],[projeto_nome]],projetos!B:B,projetos!A:A)," ")</f>
        <v>PRJ-005</v>
      </c>
      <c r="E4" s="26" t="s">
        <v>130</v>
      </c>
      <c r="F4" s="26" t="str">
        <f>IF(Tabela4[[#This Row],[projeto_nome]]=0," ",_xlfn.XLOOKUP(Tabela4[[#This Row],[projeto_nome]],projetos!B:B,projetos!C:C))</f>
        <v>Software</v>
      </c>
      <c r="G4" s="27">
        <f>_xlfn.XLOOKUP(F4,dim_custo_setor_horas!$E$1:$E$8,dim_custo_setor_horas!$F$1:$F$8," ")</f>
        <v>6</v>
      </c>
      <c r="H4" s="28">
        <f>IF(Tabela4[[#This Row],[projeto_nome]]=0," ",_xlfn.XLOOKUP(Tabela4[[#This Row],[projeto_id]],projetos!A:A,projetos!N:N," "))</f>
        <v>46054</v>
      </c>
      <c r="I4" s="28">
        <f>_xlfn.XLOOKUP(Tabela4[[#This Row],[projeto_id]],projetos!A:A,projetos!O:O," ")</f>
        <v>46188</v>
      </c>
      <c r="J4" s="26">
        <v>1</v>
      </c>
    </row>
    <row r="5" spans="1:10" x14ac:dyDescent="0.35">
      <c r="A5" s="26" t="s">
        <v>263</v>
      </c>
      <c r="B5" s="26" t="str">
        <f>IFERROR(_xlfn.XLOOKUP(Tabela4[[#This Row],[membro_nome]],Tabela3[nome],Tabela3[id])," ")</f>
        <v>MBR-001</v>
      </c>
      <c r="C5" s="26" t="s">
        <v>49</v>
      </c>
      <c r="D5" s="26" t="str">
        <f>IFERROR(_xlfn.XLOOKUP(Tabela4[[#This Row],[projeto_nome]],projetos!B:B,projetos!A:A)," ")</f>
        <v>PRJ-007</v>
      </c>
      <c r="E5" s="26" t="s">
        <v>162</v>
      </c>
      <c r="F5" s="26" t="str">
        <f>IF(Tabela4[[#This Row],[projeto_nome]]=0," ",_xlfn.XLOOKUP(Tabela4[[#This Row],[projeto_nome]],projetos!B:B,projetos!C:C))</f>
        <v>Software</v>
      </c>
      <c r="G5" s="27">
        <f>_xlfn.XLOOKUP(F5,dim_custo_setor_horas!$E$1:$E$8,dim_custo_setor_horas!$F$1:$F$8," ")</f>
        <v>6</v>
      </c>
      <c r="H5" s="28">
        <f>IF(Tabela4[[#This Row],[projeto_nome]]=0," ",_xlfn.XLOOKUP(Tabela4[[#This Row],[projeto_id]],projetos!A:A,projetos!N:N," "))</f>
        <v>45992</v>
      </c>
      <c r="I5" s="28">
        <f>_xlfn.XLOOKUP(Tabela4[[#This Row],[projeto_id]],projetos!A:A,projetos!O:O," ")</f>
        <v>46266</v>
      </c>
      <c r="J5" s="26">
        <v>1</v>
      </c>
    </row>
    <row r="6" spans="1:10" x14ac:dyDescent="0.35">
      <c r="A6" s="26" t="s">
        <v>264</v>
      </c>
      <c r="B6" s="26" t="str">
        <f>IFERROR(_xlfn.XLOOKUP(Tabela4[[#This Row],[membro_nome]],Tabela3[nome],Tabela3[id])," ")</f>
        <v>MBR-001</v>
      </c>
      <c r="C6" s="26" t="s">
        <v>49</v>
      </c>
      <c r="D6" s="26" t="str">
        <f>IFERROR(_xlfn.XLOOKUP(Tabela4[[#This Row],[projeto_nome]],projetos!B:B,projetos!A:A)," ")</f>
        <v xml:space="preserve"> </v>
      </c>
      <c r="E6" s="26" t="s">
        <v>139</v>
      </c>
      <c r="F6" s="26" t="e">
        <f>IF(Tabela4[[#This Row],[projeto_nome]]=0," ",_xlfn.XLOOKUP(Tabela4[[#This Row],[projeto_nome]],projetos!B:B,projetos!C:C))</f>
        <v>#N/A</v>
      </c>
      <c r="G6" s="27" t="e">
        <f>_xlfn.XLOOKUP(F6,dim_custo_setor_horas!$E$1:$E$8,dim_custo_setor_horas!$F$1:$F$8," ")</f>
        <v>#N/A</v>
      </c>
      <c r="H6" s="28" t="str">
        <f>IF(Tabela4[[#This Row],[projeto_nome]]=0," ",_xlfn.XLOOKUP(Tabela4[[#This Row],[projeto_id]],projetos!A:A,projetos!N:N," "))</f>
        <v xml:space="preserve"> </v>
      </c>
      <c r="I6" s="28" t="str">
        <f>_xlfn.XLOOKUP(Tabela4[[#This Row],[projeto_id]],projetos!A:A,projetos!O:O," ")</f>
        <v xml:space="preserve"> </v>
      </c>
      <c r="J6" s="26">
        <v>1</v>
      </c>
    </row>
    <row r="7" spans="1:10" x14ac:dyDescent="0.35">
      <c r="A7" s="26" t="s">
        <v>265</v>
      </c>
      <c r="B7" s="26" t="str">
        <f>IFERROR(_xlfn.XLOOKUP(Tabela4[[#This Row],[membro_nome]],Tabela3[nome],Tabela3[id])," ")</f>
        <v>MBR-001</v>
      </c>
      <c r="C7" s="26" t="s">
        <v>49</v>
      </c>
      <c r="D7" s="26" t="str">
        <f>IFERROR(_xlfn.XLOOKUP(Tabela4[[#This Row],[projeto_nome]],projetos!B:B,projetos!A:A)," ")</f>
        <v>PRJ-038</v>
      </c>
      <c r="E7" s="26" t="s">
        <v>175</v>
      </c>
      <c r="F7" s="26" t="str">
        <f>IF(Tabela4[[#This Row],[projeto_nome]]=0," ",_xlfn.XLOOKUP(Tabela4[[#This Row],[projeto_nome]],projetos!B:B,projetos!C:C))</f>
        <v>Automações RPA</v>
      </c>
      <c r="G7" s="27">
        <f>_xlfn.XLOOKUP(F7,dim_custo_setor_horas!$E$1:$E$8,dim_custo_setor_horas!$F$1:$F$8," ")</f>
        <v>12</v>
      </c>
      <c r="H7" s="28">
        <f>IF(Tabela4[[#This Row],[projeto_nome]]=0," ",_xlfn.XLOOKUP(Tabela4[[#This Row],[projeto_id]],projetos!A:A,projetos!N:N," "))</f>
        <v>46118</v>
      </c>
      <c r="I7" s="28">
        <f>_xlfn.XLOOKUP(Tabela4[[#This Row],[projeto_id]],projetos!A:A,projetos!O:O," ")</f>
        <v>46178</v>
      </c>
      <c r="J7" s="26">
        <v>2</v>
      </c>
    </row>
    <row r="8" spans="1:10" x14ac:dyDescent="0.35">
      <c r="A8" s="26" t="s">
        <v>266</v>
      </c>
      <c r="B8" s="26" t="str">
        <f>IFERROR(_xlfn.XLOOKUP(Tabela4[[#This Row],[membro_nome]],Tabela3[nome],Tabela3[id])," ")</f>
        <v>MBR-002</v>
      </c>
      <c r="C8" s="26" t="s">
        <v>81</v>
      </c>
      <c r="D8" s="26" t="str">
        <f>IFERROR(_xlfn.XLOOKUP(Tabela4[[#This Row],[projeto_nome]],projetos!B:B,projetos!A:A)," ")</f>
        <v>PRJ-006</v>
      </c>
      <c r="E8" s="21" t="s">
        <v>135</v>
      </c>
      <c r="F8" s="26" t="str">
        <f>IF(Tabela4[[#This Row],[projeto_nome]]=0," ",_xlfn.XLOOKUP(Tabela4[[#This Row],[projeto_nome]],projetos!B:B,projetos!C:C))</f>
        <v>Software</v>
      </c>
      <c r="G8" s="27">
        <v>7</v>
      </c>
      <c r="H8" s="28">
        <f>IF(Tabela4[[#This Row],[projeto_nome]]=0," ",_xlfn.XLOOKUP(Tabela4[[#This Row],[projeto_id]],projetos!A:A,projetos!N:N," "))</f>
        <v>46054</v>
      </c>
      <c r="I8" s="28">
        <f>_xlfn.XLOOKUP(Tabela4[[#This Row],[projeto_id]],projetos!A:A,projetos!O:O," ")</f>
        <v>46171</v>
      </c>
      <c r="J8" s="26">
        <v>1</v>
      </c>
    </row>
    <row r="9" spans="1:10" x14ac:dyDescent="0.35">
      <c r="A9" s="26" t="s">
        <v>267</v>
      </c>
      <c r="B9" s="26" t="str">
        <f>IFERROR(_xlfn.XLOOKUP(Tabela4[[#This Row],[membro_nome]],Tabela3[nome],Tabela3[id])," ")</f>
        <v>MBR-002</v>
      </c>
      <c r="C9" s="26" t="s">
        <v>81</v>
      </c>
      <c r="D9" s="26" t="str">
        <f>IF(Tabela4[[#This Row],[projeto_nome]]=0," ",_xlfn.XLOOKUP(Tabela4[[#This Row],[projeto_nome]],projetos!B:B,projetos!A:A))</f>
        <v>PRJ-005</v>
      </c>
      <c r="E9" s="26" t="s">
        <v>130</v>
      </c>
      <c r="F9" s="26" t="str">
        <f>IF(Tabela4[[#This Row],[projeto_nome]]=0," ",_xlfn.XLOOKUP(Tabela4[[#This Row],[projeto_nome]],projetos!B:B,projetos!C:C))</f>
        <v>Software</v>
      </c>
      <c r="G9" s="27">
        <v>7</v>
      </c>
      <c r="H9" s="28">
        <f>IF(Tabela4[[#This Row],[projeto_nome]]=0," ",_xlfn.XLOOKUP(Tabela4[[#This Row],[projeto_id]],projetos!A:A,projetos!N:N," "))</f>
        <v>46054</v>
      </c>
      <c r="I9" s="28">
        <f>_xlfn.XLOOKUP(Tabela4[[#This Row],[projeto_id]],projetos!A:A,projetos!O:O," ")</f>
        <v>46188</v>
      </c>
      <c r="J9" s="26">
        <v>1</v>
      </c>
    </row>
    <row r="10" spans="1:10" x14ac:dyDescent="0.35">
      <c r="A10" s="26" t="s">
        <v>268</v>
      </c>
      <c r="B10" s="26" t="str">
        <f>IFERROR(_xlfn.XLOOKUP(Tabela4[[#This Row],[membro_nome]],Tabela3[nome],Tabela3[id])," ")</f>
        <v>MBR-002</v>
      </c>
      <c r="C10" s="26" t="s">
        <v>81</v>
      </c>
      <c r="D10" s="26" t="str">
        <f>IF(Tabela4[[#This Row],[projeto_nome]]=0," ",_xlfn.XLOOKUP(Tabela4[[#This Row],[projeto_nome]],projetos!B:B,projetos!A:A))</f>
        <v xml:space="preserve"> </v>
      </c>
      <c r="E10" s="26"/>
      <c r="F10" s="26" t="str">
        <f>IF(Tabela4[[#This Row],[projeto_nome]]=0," ",_xlfn.XLOOKUP(Tabela4[[#This Row],[projeto_nome]],projetos!B:B,projetos!C:C))</f>
        <v xml:space="preserve"> </v>
      </c>
      <c r="G10" s="27" t="str">
        <f>_xlfn.XLOOKUP(F10,dim_custo_setor_horas!$E$1:$E$8,dim_custo_setor_horas!$F$1:$F$8," ")</f>
        <v xml:space="preserve"> </v>
      </c>
      <c r="H10" s="28" t="str">
        <f>IF(Tabela4[[#This Row],[projeto_nome]]=0," ",_xlfn.XLOOKUP(Tabela4[[#This Row],[projeto_id]],projetos!A:A,projetos!N:N," "))</f>
        <v xml:space="preserve"> </v>
      </c>
      <c r="I10" s="28" t="str">
        <f>_xlfn.XLOOKUP(Tabela4[[#This Row],[projeto_id]],projetos!A:A,projetos!O:O," ")</f>
        <v xml:space="preserve"> </v>
      </c>
      <c r="J10" s="26">
        <v>1</v>
      </c>
    </row>
    <row r="11" spans="1:10" x14ac:dyDescent="0.35">
      <c r="A11" s="26" t="s">
        <v>269</v>
      </c>
      <c r="B11" s="26" t="str">
        <f>IFERROR(_xlfn.XLOOKUP(Tabela4[[#This Row],[membro_nome]],Tabela3[nome],Tabela3[id])," ")</f>
        <v>MBR-002</v>
      </c>
      <c r="C11" s="26" t="s">
        <v>81</v>
      </c>
      <c r="D11" s="26" t="str">
        <f>IF(Tabela4[[#This Row],[projeto_nome]]=0," ",_xlfn.XLOOKUP(Tabela4[[#This Row],[projeto_nome]],projetos!B:B,projetos!A:A))</f>
        <v xml:space="preserve"> </v>
      </c>
      <c r="E11" s="26"/>
      <c r="F11" s="26" t="str">
        <f>IF(Tabela4[[#This Row],[projeto_nome]]=0," ",_xlfn.XLOOKUP(Tabela4[[#This Row],[projeto_nome]],projetos!B:B,projetos!C:C))</f>
        <v xml:space="preserve"> </v>
      </c>
      <c r="G11" s="27" t="str">
        <f>_xlfn.XLOOKUP(F11,dim_custo_setor_horas!$E$1:$E$8,dim_custo_setor_horas!$F$1:$F$8," ")</f>
        <v xml:space="preserve"> </v>
      </c>
      <c r="H11" s="28" t="str">
        <f>IF(Tabela4[[#This Row],[projeto_nome]]=0," ",_xlfn.XLOOKUP(Tabela4[[#This Row],[projeto_id]],projetos!A:A,projetos!N:N," "))</f>
        <v xml:space="preserve"> </v>
      </c>
      <c r="I11" s="28" t="str">
        <f>_xlfn.XLOOKUP(Tabela4[[#This Row],[projeto_id]],projetos!A:A,projetos!O:O," ")</f>
        <v xml:space="preserve"> </v>
      </c>
      <c r="J11" s="26">
        <v>1</v>
      </c>
    </row>
    <row r="12" spans="1:10" x14ac:dyDescent="0.35">
      <c r="A12" s="26" t="s">
        <v>270</v>
      </c>
      <c r="B12" s="26" t="str">
        <f>IFERROR(_xlfn.XLOOKUP(Tabela4[[#This Row],[membro_nome]],Tabela3[nome],Tabela3[id])," ")</f>
        <v>MBR-002</v>
      </c>
      <c r="C12" s="26" t="s">
        <v>81</v>
      </c>
      <c r="D12" s="26" t="str">
        <f>IF(Tabela4[[#This Row],[projeto_nome]]=0," ",_xlfn.XLOOKUP(Tabela4[[#This Row],[projeto_nome]],projetos!B:B,projetos!A:A))</f>
        <v xml:space="preserve"> </v>
      </c>
      <c r="E12" s="26"/>
      <c r="F12" s="26" t="str">
        <f>IF(Tabela4[[#This Row],[projeto_nome]]=0," ",_xlfn.XLOOKUP(Tabela4[[#This Row],[projeto_nome]],projetos!B:B,projetos!C:C))</f>
        <v xml:space="preserve"> </v>
      </c>
      <c r="G12" s="27" t="str">
        <f>_xlfn.XLOOKUP(F12,dim_custo_setor_horas!$E$1:$E$8,dim_custo_setor_horas!$F$1:$F$8," ")</f>
        <v xml:space="preserve"> </v>
      </c>
      <c r="H12" s="28" t="str">
        <f>IF(Tabela4[[#This Row],[projeto_nome]]=0," ",_xlfn.XLOOKUP(Tabela4[[#This Row],[projeto_id]],projetos!A:A,projetos!N:N," "))</f>
        <v xml:space="preserve"> </v>
      </c>
      <c r="I12" s="28" t="str">
        <f>_xlfn.XLOOKUP(Tabela4[[#This Row],[projeto_id]],projetos!A:A,projetos!O:O," ")</f>
        <v xml:space="preserve"> </v>
      </c>
      <c r="J12" s="26">
        <v>1</v>
      </c>
    </row>
    <row r="13" spans="1:10" x14ac:dyDescent="0.35">
      <c r="A13" s="26" t="s">
        <v>271</v>
      </c>
      <c r="B13" s="26" t="str">
        <f>IFERROR(_xlfn.XLOOKUP(Tabela4[[#This Row],[membro_nome]],Tabela3[nome],Tabela3[id])," ")</f>
        <v>MBR-003</v>
      </c>
      <c r="C13" s="26" t="s">
        <v>69</v>
      </c>
      <c r="D13" s="26" t="str">
        <f>IF(Tabela4[[#This Row],[projeto_nome]]=0," ",_xlfn.XLOOKUP(Tabela4[[#This Row],[projeto_nome]],projetos!B:B,projetos!A:A))</f>
        <v>PRJ-003</v>
      </c>
      <c r="E13" s="26" t="s">
        <v>119</v>
      </c>
      <c r="F13" s="26" t="str">
        <f>IF(Tabela4[[#This Row],[projeto_nome]]=0," ",_xlfn.XLOOKUP(Tabela4[[#This Row],[projeto_nome]],projetos!B:B,projetos!C:C))</f>
        <v>Software</v>
      </c>
      <c r="G13" s="27">
        <f>_xlfn.XLOOKUP(F13,dim_custo_setor_horas!$E$1:$E$8,dim_custo_setor_horas!$F$1:$F$8," ")</f>
        <v>6</v>
      </c>
      <c r="H13" s="28">
        <f>IF(Tabela4[[#This Row],[projeto_nome]]=0," ",_xlfn.XLOOKUP(Tabela4[[#This Row],[projeto_id]],projetos!A:A,projetos!N:N," "))</f>
        <v>46023</v>
      </c>
      <c r="I13" s="28">
        <f>_xlfn.XLOOKUP(Tabela4[[#This Row],[projeto_id]],projetos!A:A,projetos!O:O," ")</f>
        <v>46172</v>
      </c>
      <c r="J13" s="26">
        <v>1</v>
      </c>
    </row>
    <row r="14" spans="1:10" x14ac:dyDescent="0.35">
      <c r="A14" s="26" t="s">
        <v>272</v>
      </c>
      <c r="B14" s="26" t="str">
        <f>IFERROR(_xlfn.XLOOKUP(Tabela4[[#This Row],[membro_nome]],Tabela3[nome],Tabela3[id])," ")</f>
        <v>MBR-003</v>
      </c>
      <c r="C14" s="26" t="s">
        <v>69</v>
      </c>
      <c r="D14" s="26" t="str">
        <f>IF(Tabela4[[#This Row],[projeto_nome]]=0," ",_xlfn.XLOOKUP(Tabela4[[#This Row],[projeto_nome]],projetos!B:B,projetos!A:A))</f>
        <v>PRJ-007</v>
      </c>
      <c r="E14" s="26" t="s">
        <v>162</v>
      </c>
      <c r="F14" s="26" t="str">
        <f>IF(Tabela4[[#This Row],[projeto_nome]]=0," ",_xlfn.XLOOKUP(Tabela4[[#This Row],[projeto_nome]],projetos!B:B,projetos!C:C))</f>
        <v>Software</v>
      </c>
      <c r="G14" s="27">
        <v>8</v>
      </c>
      <c r="H14" s="28">
        <f>IF(Tabela4[[#This Row],[projeto_nome]]=0," ",_xlfn.XLOOKUP(Tabela4[[#This Row],[projeto_id]],projetos!A:A,projetos!N:N," "))</f>
        <v>45992</v>
      </c>
      <c r="I14" s="28">
        <f>_xlfn.XLOOKUP(Tabela4[[#This Row],[projeto_id]],projetos!A:A,projetos!O:O," ")</f>
        <v>46266</v>
      </c>
      <c r="J14" s="26">
        <v>1</v>
      </c>
    </row>
    <row r="15" spans="1:10" x14ac:dyDescent="0.35">
      <c r="A15" s="26" t="s">
        <v>273</v>
      </c>
      <c r="B15" s="26" t="str">
        <f>IFERROR(_xlfn.XLOOKUP(Tabela4[[#This Row],[membro_nome]],Tabela3[nome],Tabela3[id])," ")</f>
        <v>MBR-003</v>
      </c>
      <c r="C15" s="26" t="s">
        <v>69</v>
      </c>
      <c r="D15" s="26" t="str">
        <f>IF(Tabela4[[#This Row],[projeto_nome]]=0," ",_xlfn.XLOOKUP(Tabela4[[#This Row],[projeto_nome]],projetos!B:B,projetos!A:A))</f>
        <v>PRJ-014</v>
      </c>
      <c r="E15" s="26" t="s">
        <v>167</v>
      </c>
      <c r="F15" s="26" t="str">
        <f>IF(Tabela4[[#This Row],[projeto_nome]]=0," ",_xlfn.XLOOKUP(Tabela4[[#This Row],[projeto_nome]],projetos!B:B,projetos!C:C))</f>
        <v>BI &amp; Eng. Dados</v>
      </c>
      <c r="G15" s="27">
        <v>10</v>
      </c>
      <c r="H15" s="28">
        <f>IF(Tabela4[[#This Row],[projeto_nome]]=0," ",_xlfn.XLOOKUP(Tabela4[[#This Row],[projeto_id]],projetos!A:A,projetos!N:N," "))</f>
        <v>46062</v>
      </c>
      <c r="I15" s="28">
        <f>_xlfn.XLOOKUP(Tabela4[[#This Row],[projeto_id]],projetos!A:A,projetos!O:O," ")</f>
        <v>46142</v>
      </c>
      <c r="J15" s="26">
        <v>1</v>
      </c>
    </row>
    <row r="16" spans="1:10" x14ac:dyDescent="0.35">
      <c r="A16" s="26" t="s">
        <v>274</v>
      </c>
      <c r="B16" s="26" t="str">
        <f>IFERROR(_xlfn.XLOOKUP(Tabela4[[#This Row],[membro_nome]],Tabela3[nome],Tabela3[id])," ")</f>
        <v>MBR-003</v>
      </c>
      <c r="C16" s="26" t="s">
        <v>69</v>
      </c>
      <c r="D16" s="26" t="str">
        <f>IF(Tabela4[[#This Row],[projeto_nome]]=0," ",_xlfn.XLOOKUP(Tabela4[[#This Row],[projeto_nome]],projetos!B:B,projetos!A:A))</f>
        <v>PRJ-034</v>
      </c>
      <c r="E16" s="26" t="s">
        <v>149</v>
      </c>
      <c r="F16" s="26" t="str">
        <f>IF(Tabela4[[#This Row],[projeto_nome]]=0," ",_xlfn.XLOOKUP(Tabela4[[#This Row],[projeto_nome]],projetos!B:B,projetos!C:C))</f>
        <v>BI &amp; Eng. Dados</v>
      </c>
      <c r="G16" s="27">
        <v>6</v>
      </c>
      <c r="H16" s="28">
        <f>IF(Tabela4[[#This Row],[projeto_nome]]=0," ",_xlfn.XLOOKUP(Tabela4[[#This Row],[projeto_id]],projetos!A:A,projetos!N:N," "))</f>
        <v>46105</v>
      </c>
      <c r="I16" s="28">
        <f>_xlfn.XLOOKUP(Tabela4[[#This Row],[projeto_id]],projetos!A:A,projetos!O:O," ")</f>
        <v>46164</v>
      </c>
      <c r="J16" s="26">
        <v>1</v>
      </c>
    </row>
    <row r="17" spans="1:10" x14ac:dyDescent="0.35">
      <c r="A17" s="26" t="s">
        <v>275</v>
      </c>
      <c r="B17" s="26" t="str">
        <f>IFERROR(_xlfn.XLOOKUP(Tabela4[[#This Row],[membro_nome]],Tabela3[nome],Tabela3[id])," ")</f>
        <v>MBR-003</v>
      </c>
      <c r="C17" s="26" t="s">
        <v>69</v>
      </c>
      <c r="D17" s="26" t="str">
        <f>IF(Tabela4[[#This Row],[projeto_nome]]=0," ",_xlfn.XLOOKUP(Tabela4[[#This Row],[projeto_nome]],projetos!B:B,projetos!A:A))</f>
        <v>PRJ-029</v>
      </c>
      <c r="E17" s="26" t="s">
        <v>68</v>
      </c>
      <c r="F17" s="26" t="str">
        <f>IF(Tabela4[[#This Row],[projeto_nome]]=0," ",_xlfn.XLOOKUP(Tabela4[[#This Row],[projeto_nome]],projetos!B:B,projetos!C:C))</f>
        <v>BI &amp; Eng. Dados</v>
      </c>
      <c r="G17" s="27">
        <v>5</v>
      </c>
      <c r="H17" s="28">
        <f>IF(Tabela4[[#This Row],[projeto_nome]]=0," ",_xlfn.XLOOKUP(Tabela4[[#This Row],[projeto_id]],projetos!A:A,projetos!N:N," "))</f>
        <v>46076</v>
      </c>
      <c r="I17" s="28">
        <f>_xlfn.XLOOKUP(Tabela4[[#This Row],[projeto_id]],projetos!A:A,projetos!O:O," ")</f>
        <v>46087</v>
      </c>
      <c r="J17" s="26">
        <v>1</v>
      </c>
    </row>
    <row r="18" spans="1:10" x14ac:dyDescent="0.35">
      <c r="A18" s="26" t="s">
        <v>276</v>
      </c>
      <c r="B18" s="26" t="str">
        <f>IFERROR(_xlfn.XLOOKUP(Tabela4[[#This Row],[membro_nome]],Tabela3[nome],Tabela3[id])," ")</f>
        <v>MBR-004</v>
      </c>
      <c r="C18" s="26" t="s">
        <v>57</v>
      </c>
      <c r="D18" s="26" t="str">
        <f>IF(Tabela4[[#This Row],[projeto_nome]]=0," ",_xlfn.XLOOKUP(Tabela4[[#This Row],[projeto_nome]],projetos!B:B,projetos!A:A))</f>
        <v>PRJ-026</v>
      </c>
      <c r="E18" s="26" t="s">
        <v>56</v>
      </c>
      <c r="F18" s="26" t="str">
        <f>IF(Tabela4[[#This Row],[projeto_nome]]=0," ",_xlfn.XLOOKUP(Tabela4[[#This Row],[projeto_nome]],projetos!B:B,projetos!C:C))</f>
        <v>Automações RPA</v>
      </c>
      <c r="G18" s="27">
        <f>_xlfn.XLOOKUP(F18,dim_custo_setor_horas!$E$1:$E$8,dim_custo_setor_horas!$F$1:$F$8," ")</f>
        <v>12</v>
      </c>
      <c r="H18" s="28">
        <f>IF(Tabela4[[#This Row],[projeto_nome]]=0," ",_xlfn.XLOOKUP(Tabela4[[#This Row],[projeto_id]],projetos!A:A,projetos!N:N," "))</f>
        <v>46063</v>
      </c>
      <c r="I18" s="28">
        <f>_xlfn.XLOOKUP(Tabela4[[#This Row],[projeto_id]],projetos!A:A,projetos!O:O," ")</f>
        <v>46068</v>
      </c>
      <c r="J18" s="26">
        <v>1</v>
      </c>
    </row>
    <row r="19" spans="1:10" x14ac:dyDescent="0.35">
      <c r="A19" s="26" t="s">
        <v>277</v>
      </c>
      <c r="B19" s="26" t="str">
        <f>IFERROR(_xlfn.XLOOKUP(Tabela4[[#This Row],[membro_nome]],Tabela3[nome],Tabela3[id])," ")</f>
        <v>MBR-004</v>
      </c>
      <c r="C19" s="26" t="s">
        <v>57</v>
      </c>
      <c r="D19" s="26" t="str">
        <f>IF(Tabela4[[#This Row],[projeto_nome]]=0," ",_xlfn.XLOOKUP(Tabela4[[#This Row],[projeto_nome]],projetos!B:B,projetos!A:A))</f>
        <v>PRJ-024</v>
      </c>
      <c r="E19" s="26" t="s">
        <v>65</v>
      </c>
      <c r="F19" s="26" t="str">
        <f>IF(Tabela4[[#This Row],[projeto_nome]]=0," ",_xlfn.XLOOKUP(Tabela4[[#This Row],[projeto_nome]],projetos!B:B,projetos!C:C))</f>
        <v>Automações RPA</v>
      </c>
      <c r="G19" s="27">
        <f>_xlfn.XLOOKUP(F19,dim_custo_setor_horas!$E$1:$E$8,dim_custo_setor_horas!$F$1:$F$8," ")</f>
        <v>12</v>
      </c>
      <c r="H19" s="28">
        <f>IF(Tabela4[[#This Row],[projeto_nome]]=0," ",_xlfn.XLOOKUP(Tabela4[[#This Row],[projeto_id]],projetos!A:A,projetos!N:N," "))</f>
        <v>46063</v>
      </c>
      <c r="I19" s="28">
        <f>_xlfn.XLOOKUP(Tabela4[[#This Row],[projeto_id]],projetos!A:A,projetos!O:O," ")</f>
        <v>46068</v>
      </c>
      <c r="J19" s="26">
        <v>1</v>
      </c>
    </row>
    <row r="20" spans="1:10" x14ac:dyDescent="0.35">
      <c r="A20" s="26" t="s">
        <v>278</v>
      </c>
      <c r="B20" s="26" t="str">
        <f>IFERROR(_xlfn.XLOOKUP(Tabela4[[#This Row],[membro_nome]],Tabela3[nome],Tabela3[id])," ")</f>
        <v>MBR-004</v>
      </c>
      <c r="C20" s="26" t="s">
        <v>57</v>
      </c>
      <c r="D20" s="26" t="str">
        <f>IF(Tabela4[[#This Row],[projeto_nome]]=0," ",_xlfn.XLOOKUP(Tabela4[[#This Row],[projeto_nome]],projetos!B:B,projetos!A:A))</f>
        <v>PRJ-004</v>
      </c>
      <c r="E20" s="26" t="s">
        <v>126</v>
      </c>
      <c r="F20" s="26" t="str">
        <f>IF(Tabela4[[#This Row],[projeto_nome]]=0," ",_xlfn.XLOOKUP(Tabela4[[#This Row],[projeto_nome]],projetos!B:B,projetos!C:C))</f>
        <v>Software</v>
      </c>
      <c r="G20" s="27">
        <v>20</v>
      </c>
      <c r="H20" s="28">
        <f>IF(Tabela4[[#This Row],[projeto_nome]]=0," ",_xlfn.XLOOKUP(Tabela4[[#This Row],[projeto_id]],projetos!A:A,projetos!N:N," "))</f>
        <v>45992</v>
      </c>
      <c r="I20" s="28">
        <f>_xlfn.XLOOKUP(Tabela4[[#This Row],[projeto_id]],projetos!A:A,projetos!O:O," ")</f>
        <v>46356</v>
      </c>
      <c r="J20" s="26">
        <v>1</v>
      </c>
    </row>
    <row r="21" spans="1:10" x14ac:dyDescent="0.35">
      <c r="A21" s="26" t="s">
        <v>279</v>
      </c>
      <c r="B21" s="26" t="str">
        <f>IFERROR(_xlfn.XLOOKUP(Tabela4[[#This Row],[membro_nome]],Tabela3[nome],Tabela3[id])," ")</f>
        <v>MBR-004</v>
      </c>
      <c r="C21" s="26" t="s">
        <v>57</v>
      </c>
      <c r="D21" s="26" t="str">
        <f>IF(Tabela4[[#This Row],[projeto_nome]]=0," ",_xlfn.XLOOKUP(Tabela4[[#This Row],[projeto_nome]],projetos!B:B,projetos!A:A))</f>
        <v>PRJ-028</v>
      </c>
      <c r="E21" s="26" t="s">
        <v>181</v>
      </c>
      <c r="F21" s="26" t="str">
        <f>IF(Tabela4[[#This Row],[projeto_nome]]=0," ",_xlfn.XLOOKUP(Tabela4[[#This Row],[projeto_nome]],projetos!B:B,projetos!C:C))</f>
        <v>Software</v>
      </c>
      <c r="G21" s="27">
        <f>_xlfn.XLOOKUP(F21,dim_custo_setor_horas!$E$1:$E$8,dim_custo_setor_horas!$F$1:$F$8," ")</f>
        <v>6</v>
      </c>
      <c r="H21" s="28">
        <f>IF(Tabela4[[#This Row],[projeto_nome]]=0," ",_xlfn.XLOOKUP(Tabela4[[#This Row],[projeto_id]],projetos!A:A,projetos!N:N," "))</f>
        <v>46113</v>
      </c>
      <c r="I21" s="28">
        <f>_xlfn.XLOOKUP(Tabela4[[#This Row],[projeto_id]],projetos!A:A,projetos!O:O," ")</f>
        <v>46174</v>
      </c>
      <c r="J21" s="26">
        <v>1</v>
      </c>
    </row>
    <row r="22" spans="1:10" x14ac:dyDescent="0.35">
      <c r="A22" s="26" t="s">
        <v>280</v>
      </c>
      <c r="B22" s="26" t="str">
        <f>IFERROR(_xlfn.XLOOKUP(Tabela4[[#This Row],[membro_nome]],Tabela3[nome],Tabela3[id])," ")</f>
        <v>MBR-004</v>
      </c>
      <c r="C22" s="26" t="s">
        <v>57</v>
      </c>
      <c r="D22" s="26" t="str">
        <f>IF(Tabela4[[#This Row],[projeto_nome]]=0," ",_xlfn.XLOOKUP(Tabela4[[#This Row],[projeto_nome]],projetos!B:B,projetos!A:A))</f>
        <v>PRJ-036</v>
      </c>
      <c r="E22" s="26" t="s">
        <v>171</v>
      </c>
      <c r="F22" s="26" t="str">
        <f>IF(Tabela4[[#This Row],[projeto_nome]]=0," ",_xlfn.XLOOKUP(Tabela4[[#This Row],[projeto_nome]],projetos!B:B,projetos!C:C))</f>
        <v>Automações RPA</v>
      </c>
      <c r="G22" s="27">
        <v>15</v>
      </c>
      <c r="H22" s="28">
        <f>IF(Tabela4[[#This Row],[projeto_nome]]=0," ",_xlfn.XLOOKUP(Tabela4[[#This Row],[projeto_id]],projetos!A:A,projetos!N:N," "))</f>
        <v>46118</v>
      </c>
      <c r="I22" s="28">
        <f>_xlfn.XLOOKUP(Tabela4[[#This Row],[projeto_id]],projetos!A:A,projetos!O:O," ")</f>
        <v>46178</v>
      </c>
      <c r="J22" s="26">
        <v>1</v>
      </c>
    </row>
    <row r="23" spans="1:10" x14ac:dyDescent="0.35">
      <c r="A23" s="26" t="s">
        <v>276</v>
      </c>
      <c r="B23" s="26" t="str">
        <f>IFERROR(_xlfn.XLOOKUP(Tabela4[[#This Row],[membro_nome]],Tabela3[nome],Tabela3[id])," ")</f>
        <v>MBR-005</v>
      </c>
      <c r="C23" s="26" t="s">
        <v>253</v>
      </c>
      <c r="D23" s="26" t="str">
        <f>IF(Tabela4[[#This Row],[projeto_nome]]=0," ",_xlfn.XLOOKUP(Tabela4[[#This Row],[projeto_nome]],projetos!B:B,projetos!A:A))</f>
        <v>PRJ-005</v>
      </c>
      <c r="E23" s="26" t="s">
        <v>130</v>
      </c>
      <c r="F23" s="26" t="str">
        <f>IF(Tabela4[[#This Row],[projeto_nome]]=0," ",_xlfn.XLOOKUP(Tabela4[[#This Row],[projeto_nome]],projetos!B:B,projetos!C:C))</f>
        <v>Software</v>
      </c>
      <c r="G23" s="27">
        <v>16</v>
      </c>
      <c r="H23" s="28">
        <v>46082</v>
      </c>
      <c r="I23" s="28">
        <f>_xlfn.XLOOKUP(Tabela4[[#This Row],[projeto_id]],projetos!A:A,projetos!O:O," ")</f>
        <v>46188</v>
      </c>
      <c r="J23" s="26">
        <v>1</v>
      </c>
    </row>
    <row r="24" spans="1:10" x14ac:dyDescent="0.35">
      <c r="A24" s="26" t="s">
        <v>278</v>
      </c>
      <c r="B24" s="26" t="str">
        <f>IFERROR(_xlfn.XLOOKUP(Tabela4[[#This Row],[membro_nome]],Tabela3[nome],Tabela3[id])," ")</f>
        <v>MBR-005</v>
      </c>
      <c r="C24" s="26" t="s">
        <v>253</v>
      </c>
      <c r="D24" s="26" t="str">
        <f>IF(Tabela4[[#This Row],[projeto_nome]]=0," ",_xlfn.XLOOKUP(Tabela4[[#This Row],[projeto_nome]],projetos!B:B,projetos!A:A))</f>
        <v>PRJ-003</v>
      </c>
      <c r="E24" s="26" t="s">
        <v>119</v>
      </c>
      <c r="F24" s="26" t="str">
        <f>IF(Tabela4[[#This Row],[projeto_nome]]=0," ",_xlfn.XLOOKUP(Tabela4[[#This Row],[projeto_nome]],projetos!B:B,projetos!C:C))</f>
        <v>Software</v>
      </c>
      <c r="G24" s="27">
        <f>_xlfn.XLOOKUP(F24,dim_custo_setor_horas!$E$1:$E$8,dim_custo_setor_horas!$F$1:$F$8," ")</f>
        <v>6</v>
      </c>
      <c r="H24" s="28">
        <f>IF(Tabela4[[#This Row],[projeto_nome]]=0," ",_xlfn.XLOOKUP(Tabela4[[#This Row],[projeto_id]],projetos!A:A,projetos!N:N," "))</f>
        <v>46023</v>
      </c>
      <c r="I24" s="28">
        <f>_xlfn.XLOOKUP(Tabela4[[#This Row],[projeto_id]],projetos!A:A,projetos!O:O," ")</f>
        <v>46172</v>
      </c>
      <c r="J24" s="26">
        <v>1</v>
      </c>
    </row>
    <row r="25" spans="1:10" x14ac:dyDescent="0.35">
      <c r="A25" s="26" t="s">
        <v>281</v>
      </c>
      <c r="B25" s="26" t="str">
        <f>IFERROR(_xlfn.XLOOKUP(Tabela4[[#This Row],[membro_nome]],Tabela3[nome],Tabela3[id])," ")</f>
        <v>MBR-005</v>
      </c>
      <c r="C25" s="26" t="s">
        <v>253</v>
      </c>
      <c r="D25" s="26" t="str">
        <f>IF(Tabela4[[#This Row],[projeto_nome]]=0," ",_xlfn.XLOOKUP(Tabela4[[#This Row],[projeto_nome]],projetos!B:B,projetos!A:A))</f>
        <v>PRJ-004</v>
      </c>
      <c r="E25" s="26" t="s">
        <v>126</v>
      </c>
      <c r="F25" s="26" t="str">
        <f>IF(Tabela4[[#This Row],[projeto_nome]]=0," ",_xlfn.XLOOKUP(Tabela4[[#This Row],[projeto_nome]],projetos!B:B,projetos!C:C))</f>
        <v>Software</v>
      </c>
      <c r="G25" s="27">
        <f>_xlfn.XLOOKUP(F25,dim_custo_setor_horas!$E$1:$E$8,dim_custo_setor_horas!$F$1:$F$8," ")</f>
        <v>6</v>
      </c>
      <c r="H25" s="28">
        <f>IF(Tabela4[[#This Row],[projeto_nome]]=0," ",_xlfn.XLOOKUP(Tabela4[[#This Row],[projeto_id]],projetos!A:A,projetos!N:N," "))</f>
        <v>45992</v>
      </c>
      <c r="I25" s="28">
        <f>_xlfn.XLOOKUP(Tabela4[[#This Row],[projeto_id]],projetos!A:A,projetos!O:O," ")</f>
        <v>46356</v>
      </c>
      <c r="J25" s="26">
        <v>1</v>
      </c>
    </row>
    <row r="26" spans="1:10" x14ac:dyDescent="0.35">
      <c r="A26" s="26" t="s">
        <v>282</v>
      </c>
      <c r="B26" s="26">
        <f>IFERROR(_xlfn.XLOOKUP(Tabela4[[#This Row],[membro_nome]],Tabela3[nome],Tabela3[id])," ")</f>
        <v>0</v>
      </c>
      <c r="C26" s="26"/>
      <c r="D26" s="26" t="str">
        <f>IF(Tabela4[[#This Row],[projeto_nome]]=0," ",_xlfn.XLOOKUP(Tabela4[[#This Row],[projeto_nome]],projetos!B:B,projetos!A:A))</f>
        <v xml:space="preserve"> </v>
      </c>
      <c r="E26" s="26"/>
      <c r="F26" s="26" t="str">
        <f>IF(Tabela4[[#This Row],[projeto_nome]]=0," ",_xlfn.XLOOKUP(Tabela4[[#This Row],[projeto_nome]],projetos!B:B,projetos!C:C))</f>
        <v xml:space="preserve"> </v>
      </c>
      <c r="G26" s="27" t="str">
        <f>_xlfn.XLOOKUP(F26,dim_custo_setor_horas!$E$1:$E$8,dim_custo_setor_horas!$F$1:$F$8," ")</f>
        <v xml:space="preserve"> </v>
      </c>
      <c r="H26" s="28" t="str">
        <f>IF(Tabela4[[#This Row],[projeto_nome]]=0," ",_xlfn.XLOOKUP(Tabela4[[#This Row],[projeto_id]],projetos!A:A,projetos!N:N," "))</f>
        <v xml:space="preserve"> </v>
      </c>
      <c r="I26" s="28" t="str">
        <f>_xlfn.XLOOKUP(Tabela4[[#This Row],[projeto_id]],projetos!A:A,projetos!O:O," ")</f>
        <v xml:space="preserve"> </v>
      </c>
      <c r="J26" s="26">
        <v>1</v>
      </c>
    </row>
    <row r="27" spans="1:10" x14ac:dyDescent="0.35">
      <c r="A27" s="26" t="s">
        <v>283</v>
      </c>
      <c r="B27" s="26">
        <f>IFERROR(_xlfn.XLOOKUP(Tabela4[[#This Row],[membro_nome]],Tabela3[nome],Tabela3[id])," ")</f>
        <v>0</v>
      </c>
      <c r="C27" s="29"/>
      <c r="D27" s="26" t="str">
        <f>IF(Tabela4[[#This Row],[projeto_nome]]=0," ",_xlfn.XLOOKUP(Tabela4[[#This Row],[projeto_nome]],projetos!B:B,projetos!A:A))</f>
        <v xml:space="preserve"> </v>
      </c>
      <c r="E27" s="29"/>
      <c r="F27" s="29" t="str">
        <f>IF(Tabela4[[#This Row],[projeto_nome]]=0," ",_xlfn.XLOOKUP(Tabela4[[#This Row],[projeto_nome]],projetos!B:B,projetos!C:C))</f>
        <v xml:space="preserve"> </v>
      </c>
      <c r="G27" s="27" t="str">
        <f>_xlfn.XLOOKUP(F27,dim_custo_setor_horas!$E$1:$E$8,dim_custo_setor_horas!$F$1:$F$8," ")</f>
        <v xml:space="preserve"> </v>
      </c>
      <c r="H27" s="41" t="str">
        <f>IF(Tabela4[[#This Row],[projeto_nome]]=0," ",_xlfn.XLOOKUP(Tabela4[[#This Row],[projeto_id]],projetos!A:A,projetos!N:N," "))</f>
        <v xml:space="preserve"> </v>
      </c>
      <c r="I27" s="41" t="str">
        <f>_xlfn.XLOOKUP(Tabela4[[#This Row],[projeto_id]],projetos!A:A,projetos!O:O," ")</f>
        <v xml:space="preserve"> </v>
      </c>
      <c r="J27" s="26">
        <v>0</v>
      </c>
    </row>
    <row r="28" spans="1:10" x14ac:dyDescent="0.35">
      <c r="A28" s="26" t="s">
        <v>284</v>
      </c>
      <c r="B28" s="26">
        <f>IFERROR(_xlfn.XLOOKUP(Tabela4[[#This Row],[membro_nome]],Tabela3[nome],Tabela3[id])," ")</f>
        <v>0</v>
      </c>
      <c r="C28" s="29"/>
      <c r="D28" s="26" t="str">
        <f>IF(Tabela4[[#This Row],[projeto_nome]]=0," ",_xlfn.XLOOKUP(Tabela4[[#This Row],[projeto_nome]],projetos!B:B,projetos!A:A))</f>
        <v xml:space="preserve"> </v>
      </c>
      <c r="E28" s="29"/>
      <c r="F28" s="29" t="str">
        <f>IF(Tabela4[[#This Row],[projeto_nome]]=0," ",_xlfn.XLOOKUP(Tabela4[[#This Row],[projeto_nome]],projetos!B:B,projetos!C:C))</f>
        <v xml:space="preserve"> </v>
      </c>
      <c r="G28" s="27" t="str">
        <f>_xlfn.XLOOKUP(F28,dim_custo_setor_horas!$E$1:$E$8,dim_custo_setor_horas!$F$1:$F$8," ")</f>
        <v xml:space="preserve"> </v>
      </c>
      <c r="H28" s="41" t="str">
        <f>IF(Tabela4[[#This Row],[projeto_nome]]=0," ",_xlfn.XLOOKUP(Tabela4[[#This Row],[projeto_id]],projetos!A:A,projetos!N:N," "))</f>
        <v xml:space="preserve"> </v>
      </c>
      <c r="I28" s="41" t="str">
        <f>_xlfn.XLOOKUP(Tabela4[[#This Row],[projeto_id]],projetos!A:A,projetos!O:O," ")</f>
        <v xml:space="preserve"> </v>
      </c>
      <c r="J28" s="26">
        <v>0</v>
      </c>
    </row>
    <row r="29" spans="1:10" x14ac:dyDescent="0.35">
      <c r="A29" s="26" t="s">
        <v>285</v>
      </c>
      <c r="B29" s="26">
        <f>IFERROR(_xlfn.XLOOKUP(Tabela4[[#This Row],[membro_nome]],Tabela3[nome],Tabela3[id])," ")</f>
        <v>0</v>
      </c>
      <c r="C29" s="29"/>
      <c r="D29" s="26" t="str">
        <f>IF(Tabela4[[#This Row],[projeto_nome]]=0," ",_xlfn.XLOOKUP(Tabela4[[#This Row],[projeto_nome]],projetos!B:B,projetos!A:A))</f>
        <v xml:space="preserve"> </v>
      </c>
      <c r="E29" s="29"/>
      <c r="F29" s="29" t="str">
        <f>IF(Tabela4[[#This Row],[projeto_nome]]=0," ",_xlfn.XLOOKUP(Tabela4[[#This Row],[projeto_nome]],projetos!B:B,projetos!C:C))</f>
        <v xml:space="preserve"> </v>
      </c>
      <c r="G29" s="27" t="str">
        <f>_xlfn.XLOOKUP(F29,dim_custo_setor_horas!$E$1:$E$8,dim_custo_setor_horas!$F$1:$F$8," ")</f>
        <v xml:space="preserve"> </v>
      </c>
      <c r="H29" s="41" t="str">
        <f>IF(Tabela4[[#This Row],[projeto_nome]]=0," ",_xlfn.XLOOKUP(Tabela4[[#This Row],[projeto_id]],projetos!A:A,projetos!N:N," "))</f>
        <v xml:space="preserve"> </v>
      </c>
      <c r="I29" s="41" t="str">
        <f>_xlfn.XLOOKUP(Tabela4[[#This Row],[projeto_id]],projetos!A:A,projetos!O:O," ")</f>
        <v xml:space="preserve"> </v>
      </c>
      <c r="J29" s="26">
        <v>0</v>
      </c>
    </row>
    <row r="30" spans="1:10" x14ac:dyDescent="0.35">
      <c r="A30" s="26" t="s">
        <v>286</v>
      </c>
      <c r="B30" s="26">
        <f>IFERROR(_xlfn.XLOOKUP(Tabela4[[#This Row],[membro_nome]],Tabela3[nome],Tabela3[id])," ")</f>
        <v>0</v>
      </c>
      <c r="C30" s="29"/>
      <c r="D30" s="26" t="str">
        <f>IF(Tabela4[[#This Row],[projeto_nome]]=0," ",_xlfn.XLOOKUP(Tabela4[[#This Row],[projeto_nome]],projetos!B:B,projetos!A:A))</f>
        <v xml:space="preserve"> </v>
      </c>
      <c r="E30" s="29"/>
      <c r="F30" s="29" t="str">
        <f>IF(Tabela4[[#This Row],[projeto_nome]]=0," ",_xlfn.XLOOKUP(Tabela4[[#This Row],[projeto_nome]],projetos!B:B,projetos!C:C))</f>
        <v xml:space="preserve"> </v>
      </c>
      <c r="G30" s="27"/>
      <c r="H30" s="41" t="str">
        <f>IF(Tabela4[[#This Row],[projeto_nome]]=0," ",_xlfn.XLOOKUP(Tabela4[[#This Row],[projeto_id]],projetos!A:A,projetos!N:N," "))</f>
        <v xml:space="preserve"> </v>
      </c>
      <c r="I30" s="41" t="str">
        <f>_xlfn.XLOOKUP(Tabela4[[#This Row],[projeto_id]],projetos!A:A,projetos!O:O," ")</f>
        <v xml:space="preserve"> </v>
      </c>
      <c r="J30" s="26">
        <v>0</v>
      </c>
    </row>
    <row r="31" spans="1:10" x14ac:dyDescent="0.35">
      <c r="A31" s="26" t="s">
        <v>287</v>
      </c>
      <c r="B31" s="26">
        <f>IFERROR(_xlfn.XLOOKUP(Tabela4[[#This Row],[membro_nome]],Tabela3[nome],Tabela3[id])," ")</f>
        <v>0</v>
      </c>
      <c r="C31" s="30"/>
      <c r="D31" s="26" t="str">
        <f>IF(Tabela4[[#This Row],[projeto_nome]]=0," ",_xlfn.XLOOKUP(Tabela4[[#This Row],[projeto_nome]],projetos!B:B,projetos!A:A))</f>
        <v xml:space="preserve"> </v>
      </c>
      <c r="E31" s="30"/>
      <c r="F31" s="30" t="str">
        <f>IF(Tabela4[[#This Row],[projeto_nome]]=0," ",_xlfn.XLOOKUP(Tabela4[[#This Row],[projeto_nome]],projetos!B:B,projetos!C:C))</f>
        <v xml:space="preserve"> </v>
      </c>
      <c r="G31" s="27" t="str">
        <f>_xlfn.XLOOKUP(F31,dim_custo_setor_horas!$E$1:$E$8,dim_custo_setor_horas!$F$1:$F$8," ")</f>
        <v xml:space="preserve"> </v>
      </c>
      <c r="H31" s="42" t="str">
        <f>IF(Tabela4[[#This Row],[projeto_nome]]=0," ",_xlfn.XLOOKUP(Tabela4[[#This Row],[projeto_id]],projetos!A:A,projetos!N:N," "))</f>
        <v xml:space="preserve"> </v>
      </c>
      <c r="I31" s="42" t="str">
        <f>_xlfn.XLOOKUP(Tabela4[[#This Row],[projeto_id]],projetos!A:A,projetos!O:O," ")</f>
        <v xml:space="preserve"> </v>
      </c>
      <c r="J31" s="26">
        <v>0</v>
      </c>
    </row>
    <row r="32" spans="1:10" x14ac:dyDescent="0.35">
      <c r="A32" s="26" t="s">
        <v>288</v>
      </c>
      <c r="B32" s="26">
        <f>IFERROR(_xlfn.XLOOKUP(Tabela4[[#This Row],[membro_nome]],Tabela3[nome],Tabela3[id])," ")</f>
        <v>0</v>
      </c>
      <c r="C32" s="30"/>
      <c r="D32" s="26" t="str">
        <f>IF(Tabela4[[#This Row],[projeto_nome]]=0," ",_xlfn.XLOOKUP(Tabela4[[#This Row],[projeto_nome]],projetos!B:B,projetos!A:A))</f>
        <v xml:space="preserve"> </v>
      </c>
      <c r="E32" s="30"/>
      <c r="F32" s="30" t="str">
        <f>IF(Tabela4[[#This Row],[projeto_nome]]=0," ",_xlfn.XLOOKUP(Tabela4[[#This Row],[projeto_nome]],projetos!B:B,projetos!C:C))</f>
        <v xml:space="preserve"> </v>
      </c>
      <c r="G32" s="27" t="str">
        <f>_xlfn.XLOOKUP(F32,dim_custo_setor_horas!$E$1:$E$8,dim_custo_setor_horas!$F$1:$F$8," ")</f>
        <v xml:space="preserve"> </v>
      </c>
      <c r="H32" s="42" t="str">
        <f>IF(Tabela4[[#This Row],[projeto_nome]]=0," ",_xlfn.XLOOKUP(Tabela4[[#This Row],[projeto_id]],projetos!A:A,projetos!N:N," "))</f>
        <v xml:space="preserve"> </v>
      </c>
      <c r="I32" s="42" t="str">
        <f>_xlfn.XLOOKUP(Tabela4[[#This Row],[projeto_id]],projetos!A:A,projetos!O:O," ")</f>
        <v xml:space="preserve"> </v>
      </c>
      <c r="J32" s="26">
        <v>0</v>
      </c>
    </row>
    <row r="33" spans="1:10" x14ac:dyDescent="0.35">
      <c r="A33" s="26" t="s">
        <v>289</v>
      </c>
      <c r="B33" s="26">
        <f>IFERROR(_xlfn.XLOOKUP(Tabela4[[#This Row],[membro_nome]],Tabela3[nome],Tabela3[id])," ")</f>
        <v>0</v>
      </c>
      <c r="C33" s="30"/>
      <c r="D33" s="26" t="str">
        <f>IF(Tabela4[[#This Row],[projeto_nome]]=0," ",_xlfn.XLOOKUP(Tabela4[[#This Row],[projeto_nome]],projetos!B:B,projetos!A:A))</f>
        <v xml:space="preserve"> </v>
      </c>
      <c r="E33" s="30"/>
      <c r="F33" s="30" t="str">
        <f>IF(Tabela4[[#This Row],[projeto_nome]]=0," ",_xlfn.XLOOKUP(Tabela4[[#This Row],[projeto_nome]],projetos!B:B,projetos!C:C))</f>
        <v xml:space="preserve"> </v>
      </c>
      <c r="G33" s="27" t="str">
        <f>_xlfn.XLOOKUP(F33,dim_custo_setor_horas!$E$1:$E$8,dim_custo_setor_horas!$F$1:$F$8," ")</f>
        <v xml:space="preserve"> </v>
      </c>
      <c r="H33" s="42" t="str">
        <f>IF(Tabela4[[#This Row],[projeto_nome]]=0," ",_xlfn.XLOOKUP(Tabela4[[#This Row],[projeto_id]],projetos!A:A,projetos!N:N," "))</f>
        <v xml:space="preserve"> </v>
      </c>
      <c r="I33" s="42" t="str">
        <f>_xlfn.XLOOKUP(Tabela4[[#This Row],[projeto_id]],projetos!A:A,projetos!O:O," ")</f>
        <v xml:space="preserve"> </v>
      </c>
      <c r="J33" s="26">
        <v>0</v>
      </c>
    </row>
    <row r="34" spans="1:10" x14ac:dyDescent="0.35">
      <c r="A34" s="26" t="s">
        <v>290</v>
      </c>
      <c r="B34" s="26">
        <f>IFERROR(_xlfn.XLOOKUP(Tabela4[[#This Row],[membro_nome]],Tabela3[nome],Tabela3[id])," ")</f>
        <v>0</v>
      </c>
      <c r="C34" s="30"/>
      <c r="D34" s="26" t="str">
        <f>IF(Tabela4[[#This Row],[projeto_nome]]=0," ",_xlfn.XLOOKUP(Tabela4[[#This Row],[projeto_nome]],projetos!B:B,projetos!A:A))</f>
        <v xml:space="preserve"> </v>
      </c>
      <c r="E34" s="30"/>
      <c r="F34" s="30" t="str">
        <f>IF(Tabela4[[#This Row],[projeto_nome]]=0," ",_xlfn.XLOOKUP(Tabela4[[#This Row],[projeto_nome]],projetos!B:B,projetos!C:C))</f>
        <v xml:space="preserve"> </v>
      </c>
      <c r="G34" s="27" t="str">
        <f>_xlfn.XLOOKUP(F34,dim_custo_setor_horas!$E$1:$E$8,dim_custo_setor_horas!$F$1:$F$8," ")</f>
        <v xml:space="preserve"> </v>
      </c>
      <c r="H34" s="42" t="str">
        <f>IF(Tabela4[[#This Row],[projeto_nome]]=0," ",_xlfn.XLOOKUP(Tabela4[[#This Row],[projeto_id]],projetos!A:A,projetos!N:N," "))</f>
        <v xml:space="preserve"> </v>
      </c>
      <c r="I34" s="42" t="str">
        <f>_xlfn.XLOOKUP(Tabela4[[#This Row],[projeto_id]],projetos!A:A,projetos!O:O," ")</f>
        <v xml:space="preserve"> </v>
      </c>
      <c r="J34" s="26">
        <v>0</v>
      </c>
    </row>
    <row r="35" spans="1:10" x14ac:dyDescent="0.35">
      <c r="A35" s="26" t="s">
        <v>291</v>
      </c>
      <c r="B35" s="26">
        <f>IFERROR(_xlfn.XLOOKUP(Tabela4[[#This Row],[membro_nome]],Tabela3[nome],Tabela3[id])," ")</f>
        <v>0</v>
      </c>
      <c r="C35" s="30"/>
      <c r="D35" s="26" t="str">
        <f>IF(Tabela4[[#This Row],[projeto_nome]]=0," ",_xlfn.XLOOKUP(Tabela4[[#This Row],[projeto_nome]],projetos!B:B,projetos!A:A))</f>
        <v xml:space="preserve"> </v>
      </c>
      <c r="E35" s="30"/>
      <c r="F35" s="30" t="str">
        <f>IF(Tabela4[[#This Row],[projeto_nome]]=0," ",_xlfn.XLOOKUP(Tabela4[[#This Row],[projeto_nome]],projetos!B:B,projetos!C:C))</f>
        <v xml:space="preserve"> </v>
      </c>
      <c r="G35" s="27" t="str">
        <f>_xlfn.XLOOKUP(F35,dim_custo_setor_horas!$E$1:$E$8,dim_custo_setor_horas!$F$1:$F$8," ")</f>
        <v xml:space="preserve"> </v>
      </c>
      <c r="H35" s="42" t="str">
        <f>IF(Tabela4[[#This Row],[projeto_nome]]=0," ",_xlfn.XLOOKUP(Tabela4[[#This Row],[projeto_id]],projetos!A:A,projetos!N:N," "))</f>
        <v xml:space="preserve"> </v>
      </c>
      <c r="I35" s="42" t="str">
        <f>_xlfn.XLOOKUP(Tabela4[[#This Row],[projeto_id]],projetos!A:A,projetos!O:O," ")</f>
        <v xml:space="preserve"> </v>
      </c>
      <c r="J35" s="26">
        <v>0</v>
      </c>
    </row>
    <row r="36" spans="1:10" x14ac:dyDescent="0.35">
      <c r="A36" s="26" t="s">
        <v>292</v>
      </c>
      <c r="B36" s="26">
        <f>IFERROR(_xlfn.XLOOKUP(Tabela4[[#This Row],[membro_nome]],Tabela3[nome],Tabela3[id])," ")</f>
        <v>0</v>
      </c>
      <c r="C36" s="30"/>
      <c r="D36" s="26" t="str">
        <f>IF(Tabela4[[#This Row],[projeto_nome]]=0," ",_xlfn.XLOOKUP(Tabela4[[#This Row],[projeto_nome]],projetos!B:B,projetos!A:A))</f>
        <v xml:space="preserve"> </v>
      </c>
      <c r="E36" s="30"/>
      <c r="F36" s="30" t="str">
        <f>IF(Tabela4[[#This Row],[projeto_nome]]=0," ",_xlfn.XLOOKUP(Tabela4[[#This Row],[projeto_nome]],projetos!B:B,projetos!C:C))</f>
        <v xml:space="preserve"> </v>
      </c>
      <c r="G36" s="27" t="str">
        <f>_xlfn.XLOOKUP(F36,dim_custo_setor_horas!$E$1:$E$8,dim_custo_setor_horas!$F$1:$F$8," ")</f>
        <v xml:space="preserve"> </v>
      </c>
      <c r="H36" s="42" t="str">
        <f>IF(Tabela4[[#This Row],[projeto_nome]]=0," ",_xlfn.XLOOKUP(Tabela4[[#This Row],[projeto_id]],projetos!A:A,projetos!N:N," "))</f>
        <v xml:space="preserve"> </v>
      </c>
      <c r="I36" s="42" t="str">
        <f>_xlfn.XLOOKUP(Tabela4[[#This Row],[projeto_id]],projetos!A:A,projetos!O:O," ")</f>
        <v xml:space="preserve"> </v>
      </c>
      <c r="J36" s="26">
        <v>0</v>
      </c>
    </row>
    <row r="37" spans="1:10" x14ac:dyDescent="0.35">
      <c r="A37" s="26" t="s">
        <v>293</v>
      </c>
      <c r="B37" s="26">
        <f>IFERROR(_xlfn.XLOOKUP(Tabela4[[#This Row],[membro_nome]],Tabela3[nome],Tabela3[id])," ")</f>
        <v>0</v>
      </c>
      <c r="C37" s="30"/>
      <c r="D37" s="26" t="str">
        <f>IF(Tabela4[[#This Row],[projeto_nome]]=0," ",_xlfn.XLOOKUP(Tabela4[[#This Row],[projeto_nome]],projetos!B:B,projetos!A:A))</f>
        <v xml:space="preserve"> </v>
      </c>
      <c r="E37" s="30"/>
      <c r="F37" s="30" t="str">
        <f>IF(Tabela4[[#This Row],[projeto_nome]]=0," ",_xlfn.XLOOKUP(Tabela4[[#This Row],[projeto_nome]],projetos!B:B,projetos!C:C))</f>
        <v xml:space="preserve"> </v>
      </c>
      <c r="G37" s="27" t="str">
        <f>_xlfn.XLOOKUP(F37,dim_custo_setor_horas!$E$1:$E$8,dim_custo_setor_horas!$F$1:$F$8," ")</f>
        <v xml:space="preserve"> </v>
      </c>
      <c r="H37" s="42" t="str">
        <f>IF(Tabela4[[#This Row],[projeto_nome]]=0," ",_xlfn.XLOOKUP(Tabela4[[#This Row],[projeto_id]],projetos!A:A,projetos!N:N," "))</f>
        <v xml:space="preserve"> </v>
      </c>
      <c r="I37" s="42" t="str">
        <f>_xlfn.XLOOKUP(Tabela4[[#This Row],[projeto_id]],projetos!A:A,projetos!O:O," ")</f>
        <v xml:space="preserve"> </v>
      </c>
      <c r="J37" s="26">
        <v>0</v>
      </c>
    </row>
    <row r="38" spans="1:10" x14ac:dyDescent="0.35">
      <c r="A38" s="26" t="s">
        <v>294</v>
      </c>
      <c r="B38" s="26">
        <f>IFERROR(_xlfn.XLOOKUP(Tabela4[[#This Row],[membro_nome]],Tabela3[nome],Tabela3[id])," ")</f>
        <v>0</v>
      </c>
      <c r="C38" s="30"/>
      <c r="D38" s="26" t="str">
        <f>IF(Tabela4[[#This Row],[projeto_nome]]=0," ",_xlfn.XLOOKUP(Tabela4[[#This Row],[projeto_nome]],projetos!B:B,projetos!A:A))</f>
        <v xml:space="preserve"> </v>
      </c>
      <c r="E38" s="30"/>
      <c r="F38" s="30" t="str">
        <f>IF(Tabela4[[#This Row],[projeto_nome]]=0," ",_xlfn.XLOOKUP(Tabela4[[#This Row],[projeto_nome]],projetos!B:B,projetos!C:C))</f>
        <v xml:space="preserve"> </v>
      </c>
      <c r="G38" s="27" t="str">
        <f>_xlfn.XLOOKUP(F38,dim_custo_setor_horas!$E$1:$E$8,dim_custo_setor_horas!$F$1:$F$8," ")</f>
        <v xml:space="preserve"> </v>
      </c>
      <c r="H38" s="42" t="str">
        <f>IF(Tabela4[[#This Row],[projeto_nome]]=0," ",_xlfn.XLOOKUP(Tabela4[[#This Row],[projeto_id]],projetos!A:A,projetos!N:N," "))</f>
        <v xml:space="preserve"> </v>
      </c>
      <c r="I38" s="42" t="str">
        <f>_xlfn.XLOOKUP(Tabela4[[#This Row],[projeto_id]],projetos!A:A,projetos!O:O," ")</f>
        <v xml:space="preserve"> </v>
      </c>
      <c r="J38" s="26">
        <v>0</v>
      </c>
    </row>
    <row r="39" spans="1:10" x14ac:dyDescent="0.35">
      <c r="A39" s="26" t="s">
        <v>295</v>
      </c>
      <c r="B39" s="26">
        <f>IFERROR(_xlfn.XLOOKUP(Tabela4[[#This Row],[membro_nome]],Tabela3[nome],Tabela3[id])," ")</f>
        <v>0</v>
      </c>
      <c r="C39" s="30"/>
      <c r="D39" s="26" t="str">
        <f>IF(Tabela4[[#This Row],[projeto_nome]]=0," ",_xlfn.XLOOKUP(Tabela4[[#This Row],[projeto_nome]],projetos!B:B,projetos!A:A))</f>
        <v xml:space="preserve"> </v>
      </c>
      <c r="E39" s="30"/>
      <c r="F39" s="30" t="str">
        <f>IF(Tabela4[[#This Row],[projeto_nome]]=0," ",_xlfn.XLOOKUP(Tabela4[[#This Row],[projeto_nome]],projetos!B:B,projetos!C:C))</f>
        <v xml:space="preserve"> </v>
      </c>
      <c r="G39" s="27" t="str">
        <f>_xlfn.XLOOKUP(F39,dim_custo_setor_horas!$E$1:$E$8,dim_custo_setor_horas!$F$1:$F$8," ")</f>
        <v xml:space="preserve"> </v>
      </c>
      <c r="H39" s="42" t="str">
        <f>IF(Tabela4[[#This Row],[projeto_nome]]=0," ",_xlfn.XLOOKUP(Tabela4[[#This Row],[projeto_id]],projetos!A:A,projetos!N:N," "))</f>
        <v xml:space="preserve"> </v>
      </c>
      <c r="I39" s="42" t="str">
        <f>_xlfn.XLOOKUP(Tabela4[[#This Row],[projeto_id]],projetos!A:A,projetos!O:O," ")</f>
        <v xml:space="preserve"> </v>
      </c>
      <c r="J39" s="26">
        <v>0</v>
      </c>
    </row>
    <row r="40" spans="1:10" x14ac:dyDescent="0.35">
      <c r="A40" s="26" t="s">
        <v>296</v>
      </c>
      <c r="B40" s="26">
        <f>IFERROR(_xlfn.XLOOKUP(Tabela4[[#This Row],[membro_nome]],Tabela3[nome],Tabela3[id])," ")</f>
        <v>0</v>
      </c>
      <c r="C40" s="30"/>
      <c r="D40" s="26" t="str">
        <f>IF(Tabela4[[#This Row],[projeto_nome]]=0," ",_xlfn.XLOOKUP(Tabela4[[#This Row],[projeto_nome]],projetos!B:B,projetos!A:A))</f>
        <v xml:space="preserve"> </v>
      </c>
      <c r="E40" s="30"/>
      <c r="F40" s="30" t="str">
        <f>IF(Tabela4[[#This Row],[projeto_nome]]=0," ",_xlfn.XLOOKUP(Tabela4[[#This Row],[projeto_nome]],projetos!B:B,projetos!C:C))</f>
        <v xml:space="preserve"> </v>
      </c>
      <c r="G40" s="27" t="str">
        <f>_xlfn.XLOOKUP(F40,dim_custo_setor_horas!$E$1:$E$8,dim_custo_setor_horas!$F$1:$F$8," ")</f>
        <v xml:space="preserve"> </v>
      </c>
      <c r="H40" s="42" t="str">
        <f>IF(Tabela4[[#This Row],[projeto_nome]]=0," ",_xlfn.XLOOKUP(Tabela4[[#This Row],[projeto_id]],projetos!A:A,projetos!N:N," "))</f>
        <v xml:space="preserve"> </v>
      </c>
      <c r="I40" s="42" t="str">
        <f>_xlfn.XLOOKUP(Tabela4[[#This Row],[projeto_id]],projetos!A:A,projetos!O:O," ")</f>
        <v xml:space="preserve"> </v>
      </c>
      <c r="J40" s="26">
        <v>0</v>
      </c>
    </row>
    <row r="41" spans="1:10" x14ac:dyDescent="0.35">
      <c r="A41" s="26" t="s">
        <v>297</v>
      </c>
      <c r="B41" s="26">
        <f>IFERROR(_xlfn.XLOOKUP(Tabela4[[#This Row],[membro_nome]],Tabela3[nome],Tabela3[id])," ")</f>
        <v>0</v>
      </c>
      <c r="C41" s="30"/>
      <c r="D41" s="26" t="str">
        <f>IF(Tabela4[[#This Row],[projeto_nome]]=0," ",_xlfn.XLOOKUP(Tabela4[[#This Row],[projeto_nome]],projetos!B:B,projetos!A:A))</f>
        <v xml:space="preserve"> </v>
      </c>
      <c r="E41" s="30"/>
      <c r="F41" s="30" t="str">
        <f>IF(Tabela4[[#This Row],[projeto_nome]]=0," ",_xlfn.XLOOKUP(Tabela4[[#This Row],[projeto_nome]],projetos!B:B,projetos!C:C))</f>
        <v xml:space="preserve"> </v>
      </c>
      <c r="G41" s="27" t="str">
        <f>_xlfn.XLOOKUP(F41,dim_custo_setor_horas!$E$1:$E$8,dim_custo_setor_horas!$F$1:$F$8," ")</f>
        <v xml:space="preserve"> </v>
      </c>
      <c r="H41" s="42" t="str">
        <f>IF(Tabela4[[#This Row],[projeto_nome]]=0," ",_xlfn.XLOOKUP(Tabela4[[#This Row],[projeto_id]],projetos!A:A,projetos!N:N," "))</f>
        <v xml:space="preserve"> </v>
      </c>
      <c r="I41" s="42" t="str">
        <f>_xlfn.XLOOKUP(Tabela4[[#This Row],[projeto_id]],projetos!A:A,projetos!O:O," ")</f>
        <v xml:space="preserve"> </v>
      </c>
      <c r="J41" s="26">
        <v>0</v>
      </c>
    </row>
    <row r="42" spans="1:10" x14ac:dyDescent="0.35">
      <c r="A42" s="26" t="s">
        <v>298</v>
      </c>
      <c r="B42" s="26">
        <f>IFERROR(_xlfn.XLOOKUP(Tabela4[[#This Row],[membro_nome]],Tabela3[nome],Tabela3[id])," ")</f>
        <v>0</v>
      </c>
      <c r="C42" s="30"/>
      <c r="D42" s="26" t="str">
        <f>IF(Tabela4[[#This Row],[projeto_nome]]=0," ",_xlfn.XLOOKUP(Tabela4[[#This Row],[projeto_nome]],projetos!B:B,projetos!A:A))</f>
        <v xml:space="preserve"> </v>
      </c>
      <c r="E42" s="30"/>
      <c r="F42" s="30" t="str">
        <f>IF(Tabela4[[#This Row],[projeto_nome]]=0," ",_xlfn.XLOOKUP(Tabela4[[#This Row],[projeto_nome]],projetos!B:B,projetos!C:C))</f>
        <v xml:space="preserve"> </v>
      </c>
      <c r="G42" s="27" t="str">
        <f>_xlfn.XLOOKUP(F42,dim_custo_setor_horas!$E$1:$E$8,dim_custo_setor_horas!$F$1:$F$8," ")</f>
        <v xml:space="preserve"> </v>
      </c>
      <c r="H42" s="42" t="str">
        <f>IF(Tabela4[[#This Row],[projeto_nome]]=0," ",_xlfn.XLOOKUP(Tabela4[[#This Row],[projeto_id]],projetos!A:A,projetos!N:N," "))</f>
        <v xml:space="preserve"> </v>
      </c>
      <c r="I42" s="42" t="str">
        <f>_xlfn.XLOOKUP(Tabela4[[#This Row],[projeto_id]],projetos!A:A,projetos!O:O," ")</f>
        <v xml:space="preserve"> </v>
      </c>
      <c r="J42" s="26">
        <v>0</v>
      </c>
    </row>
    <row r="43" spans="1:10" x14ac:dyDescent="0.35">
      <c r="A43" s="26" t="s">
        <v>299</v>
      </c>
      <c r="B43" s="26">
        <f>IFERROR(_xlfn.XLOOKUP(Tabela4[[#This Row],[membro_nome]],Tabela3[nome],Tabela3[id])," ")</f>
        <v>0</v>
      </c>
      <c r="C43" s="30"/>
      <c r="D43" s="26" t="str">
        <f>IF(Tabela4[[#This Row],[projeto_nome]]=0," ",_xlfn.XLOOKUP(Tabela4[[#This Row],[projeto_nome]],projetos!B:B,projetos!A:A))</f>
        <v xml:space="preserve"> </v>
      </c>
      <c r="E43" s="30"/>
      <c r="F43" s="30" t="str">
        <f>IF(Tabela4[[#This Row],[projeto_nome]]=0," ",_xlfn.XLOOKUP(Tabela4[[#This Row],[projeto_nome]],projetos!B:B,projetos!C:C))</f>
        <v xml:space="preserve"> </v>
      </c>
      <c r="G43" s="30"/>
      <c r="H43" s="42" t="str">
        <f>IF(Tabela4[[#This Row],[projeto_nome]]=0," ",_xlfn.XLOOKUP(Tabela4[[#This Row],[projeto_id]],projetos!A:A,projetos!N:N," "))</f>
        <v xml:space="preserve"> </v>
      </c>
      <c r="I43" s="42" t="str">
        <f>_xlfn.XLOOKUP(Tabela4[[#This Row],[projeto_id]],projetos!A:A,projetos!O:O," ")</f>
        <v xml:space="preserve"> </v>
      </c>
      <c r="J43" s="26">
        <v>0</v>
      </c>
    </row>
    <row r="44" spans="1:10" x14ac:dyDescent="0.35">
      <c r="A44" s="26" t="s">
        <v>300</v>
      </c>
      <c r="B44" s="26">
        <f>IFERROR(_xlfn.XLOOKUP(Tabela4[[#This Row],[membro_nome]],Tabela3[nome],Tabela3[id])," ")</f>
        <v>0</v>
      </c>
      <c r="C44" s="30"/>
      <c r="D44" s="26" t="str">
        <f>IF(Tabela4[[#This Row],[projeto_nome]]=0," ",_xlfn.XLOOKUP(Tabela4[[#This Row],[projeto_nome]],projetos!B:B,projetos!A:A))</f>
        <v xml:space="preserve"> </v>
      </c>
      <c r="E44" s="30"/>
      <c r="F44" s="30" t="str">
        <f>IF(Tabela4[[#This Row],[projeto_nome]]=0," ",_xlfn.XLOOKUP(Tabela4[[#This Row],[projeto_nome]],projetos!B:B,projetos!C:C))</f>
        <v xml:space="preserve"> </v>
      </c>
      <c r="G44" s="30"/>
      <c r="H44" s="42" t="str">
        <f>IF(Tabela4[[#This Row],[projeto_nome]]=0," ",_xlfn.XLOOKUP(Tabela4[[#This Row],[projeto_id]],projetos!A:A,projetos!N:N," "))</f>
        <v xml:space="preserve"> </v>
      </c>
      <c r="I44" s="42" t="str">
        <f>_xlfn.XLOOKUP(Tabela4[[#This Row],[projeto_id]],projetos!A:A,projetos!O:O," ")</f>
        <v xml:space="preserve"> </v>
      </c>
      <c r="J44" s="26">
        <v>0</v>
      </c>
    </row>
    <row r="45" spans="1:10" x14ac:dyDescent="0.35">
      <c r="A45" s="26" t="s">
        <v>301</v>
      </c>
      <c r="B45" s="26">
        <f>IFERROR(_xlfn.XLOOKUP(Tabela4[[#This Row],[membro_nome]],Tabela3[nome],Tabela3[id])," ")</f>
        <v>0</v>
      </c>
      <c r="C45" s="30"/>
      <c r="D45" s="26" t="str">
        <f>IF(Tabela4[[#This Row],[projeto_nome]]=0," ",_xlfn.XLOOKUP(Tabela4[[#This Row],[projeto_nome]],projetos!B:B,projetos!A:A))</f>
        <v xml:space="preserve"> </v>
      </c>
      <c r="E45" s="30"/>
      <c r="F45" s="30" t="str">
        <f>IF(Tabela4[[#This Row],[projeto_nome]]=0," ",_xlfn.XLOOKUP(Tabela4[[#This Row],[projeto_nome]],projetos!B:B,projetos!C:C))</f>
        <v xml:space="preserve"> </v>
      </c>
      <c r="G45" s="30"/>
      <c r="H45" s="42" t="str">
        <f>IF(Tabela4[[#This Row],[projeto_nome]]=0," ",_xlfn.XLOOKUP(Tabela4[[#This Row],[projeto_id]],projetos!A:A,projetos!N:N," "))</f>
        <v xml:space="preserve"> </v>
      </c>
      <c r="I45" s="42" t="str">
        <f>_xlfn.XLOOKUP(Tabela4[[#This Row],[projeto_id]],projetos!A:A,projetos!O:O," ")</f>
        <v xml:space="preserve"> </v>
      </c>
      <c r="J45" s="26">
        <v>0</v>
      </c>
    </row>
    <row r="46" spans="1:10" x14ac:dyDescent="0.35">
      <c r="A46" s="26" t="s">
        <v>302</v>
      </c>
      <c r="B46" s="26">
        <f>IFERROR(_xlfn.XLOOKUP(Tabela4[[#This Row],[membro_nome]],Tabela3[nome],Tabela3[id])," ")</f>
        <v>0</v>
      </c>
      <c r="C46" s="30"/>
      <c r="D46" s="26" t="str">
        <f>IF(Tabela4[[#This Row],[projeto_nome]]=0," ",_xlfn.XLOOKUP(Tabela4[[#This Row],[projeto_nome]],projetos!B:B,projetos!A:A))</f>
        <v xml:space="preserve"> </v>
      </c>
      <c r="E46" s="30"/>
      <c r="F46" s="30" t="str">
        <f>IF(Tabela4[[#This Row],[projeto_nome]]=0," ",_xlfn.XLOOKUP(Tabela4[[#This Row],[projeto_nome]],projetos!B:B,projetos!C:C))</f>
        <v xml:space="preserve"> </v>
      </c>
      <c r="G46" s="30"/>
      <c r="H46" s="42" t="str">
        <f>IF(Tabela4[[#This Row],[projeto_nome]]=0," ",_xlfn.XLOOKUP(Tabela4[[#This Row],[projeto_id]],projetos!A:A,projetos!N:N," "))</f>
        <v xml:space="preserve"> </v>
      </c>
      <c r="I46" s="42" t="str">
        <f>_xlfn.XLOOKUP(Tabela4[[#This Row],[projeto_id]],projetos!A:A,projetos!O:O," ")</f>
        <v xml:space="preserve"> </v>
      </c>
      <c r="J46" s="26">
        <v>0</v>
      </c>
    </row>
    <row r="47" spans="1:10" x14ac:dyDescent="0.35">
      <c r="A47" s="26" t="s">
        <v>303</v>
      </c>
      <c r="B47" s="26">
        <f>IFERROR(_xlfn.XLOOKUP(Tabela4[[#This Row],[membro_nome]],Tabela3[nome],Tabela3[id])," ")</f>
        <v>0</v>
      </c>
      <c r="C47" s="30"/>
      <c r="D47" s="26" t="str">
        <f>IF(Tabela4[[#This Row],[projeto_nome]]=0," ",_xlfn.XLOOKUP(Tabela4[[#This Row],[projeto_nome]],projetos!B:B,projetos!A:A))</f>
        <v xml:space="preserve"> </v>
      </c>
      <c r="E47" s="30"/>
      <c r="F47" s="30" t="str">
        <f>IF(Tabela4[[#This Row],[projeto_nome]]=0," ",_xlfn.XLOOKUP(Tabela4[[#This Row],[projeto_nome]],projetos!B:B,projetos!C:C))</f>
        <v xml:space="preserve"> </v>
      </c>
      <c r="G47" s="30"/>
      <c r="H47" s="42" t="str">
        <f>IF(Tabela4[[#This Row],[projeto_nome]]=0," ",_xlfn.XLOOKUP(Tabela4[[#This Row],[projeto_id]],projetos!A:A,projetos!N:N," "))</f>
        <v xml:space="preserve"> </v>
      </c>
      <c r="I47" s="42" t="str">
        <f>_xlfn.XLOOKUP(Tabela4[[#This Row],[projeto_id]],projetos!A:A,projetos!O:O," ")</f>
        <v xml:space="preserve"> </v>
      </c>
      <c r="J47" s="26">
        <v>0</v>
      </c>
    </row>
    <row r="48" spans="1:10" x14ac:dyDescent="0.35">
      <c r="A48" s="26" t="s">
        <v>304</v>
      </c>
      <c r="B48" s="26">
        <f>IFERROR(_xlfn.XLOOKUP(Tabela4[[#This Row],[membro_nome]],Tabela3[nome],Tabela3[id])," ")</f>
        <v>0</v>
      </c>
      <c r="C48" s="30"/>
      <c r="D48" s="26" t="str">
        <f>IF(Tabela4[[#This Row],[projeto_nome]]=0," ",_xlfn.XLOOKUP(Tabela4[[#This Row],[projeto_nome]],projetos!B:B,projetos!A:A))</f>
        <v xml:space="preserve"> </v>
      </c>
      <c r="E48" s="30"/>
      <c r="F48" s="30" t="str">
        <f>IF(Tabela4[[#This Row],[projeto_nome]]=0," ",_xlfn.XLOOKUP(Tabela4[[#This Row],[projeto_nome]],projetos!B:B,projetos!C:C))</f>
        <v xml:space="preserve"> </v>
      </c>
      <c r="G48" s="30"/>
      <c r="H48" s="42" t="str">
        <f>IF(Tabela4[[#This Row],[projeto_nome]]=0," ",_xlfn.XLOOKUP(Tabela4[[#This Row],[projeto_id]],projetos!A:A,projetos!N:N," "))</f>
        <v xml:space="preserve"> </v>
      </c>
      <c r="I48" s="42" t="str">
        <f>_xlfn.XLOOKUP(Tabela4[[#This Row],[projeto_id]],projetos!A:A,projetos!O:O," ")</f>
        <v xml:space="preserve"> </v>
      </c>
      <c r="J48" s="26">
        <v>0</v>
      </c>
    </row>
    <row r="49" spans="1:10" x14ac:dyDescent="0.35">
      <c r="A49" s="26" t="s">
        <v>305</v>
      </c>
      <c r="B49" s="26">
        <f>IFERROR(_xlfn.XLOOKUP(Tabela4[[#This Row],[membro_nome]],Tabela3[nome],Tabela3[id])," ")</f>
        <v>0</v>
      </c>
      <c r="C49" s="30"/>
      <c r="D49" s="26" t="str">
        <f>IF(Tabela4[[#This Row],[projeto_nome]]=0," ",_xlfn.XLOOKUP(Tabela4[[#This Row],[projeto_nome]],projetos!B:B,projetos!A:A))</f>
        <v xml:space="preserve"> </v>
      </c>
      <c r="E49" s="30"/>
      <c r="F49" s="30" t="str">
        <f>IF(Tabela4[[#This Row],[projeto_nome]]=0," ",_xlfn.XLOOKUP(Tabela4[[#This Row],[projeto_nome]],projetos!B:B,projetos!C:C))</f>
        <v xml:space="preserve"> </v>
      </c>
      <c r="G49" s="30"/>
      <c r="H49" s="42" t="str">
        <f>IF(Tabela4[[#This Row],[projeto_nome]]=0," ",_xlfn.XLOOKUP(Tabela4[[#This Row],[projeto_id]],projetos!A:A,projetos!N:N," "))</f>
        <v xml:space="preserve"> </v>
      </c>
      <c r="I49" s="42" t="str">
        <f>_xlfn.XLOOKUP(Tabela4[[#This Row],[projeto_id]],projetos!A:A,projetos!O:O," ")</f>
        <v xml:space="preserve"> </v>
      </c>
      <c r="J49" s="26">
        <v>0</v>
      </c>
    </row>
    <row r="50" spans="1:10" x14ac:dyDescent="0.35">
      <c r="A50" s="26" t="s">
        <v>306</v>
      </c>
      <c r="B50" s="26">
        <f>IFERROR(_xlfn.XLOOKUP(Tabela4[[#This Row],[membro_nome]],Tabela3[nome],Tabela3[id])," ")</f>
        <v>0</v>
      </c>
      <c r="C50" s="30"/>
      <c r="D50" s="26" t="str">
        <f>IF(Tabela4[[#This Row],[projeto_nome]]=0," ",_xlfn.XLOOKUP(Tabela4[[#This Row],[projeto_nome]],projetos!B:B,projetos!A:A))</f>
        <v xml:space="preserve"> </v>
      </c>
      <c r="E50" s="30"/>
      <c r="F50" s="30" t="str">
        <f>IF(Tabela4[[#This Row],[projeto_nome]]=0," ",_xlfn.XLOOKUP(Tabela4[[#This Row],[projeto_nome]],projetos!B:B,projetos!C:C))</f>
        <v xml:space="preserve"> </v>
      </c>
      <c r="G50" s="30"/>
      <c r="H50" s="42" t="str">
        <f>IF(Tabela4[[#This Row],[projeto_nome]]=0," ",_xlfn.XLOOKUP(Tabela4[[#This Row],[projeto_id]],projetos!A:A,projetos!N:N," "))</f>
        <v xml:space="preserve"> </v>
      </c>
      <c r="I50" s="42" t="str">
        <f>_xlfn.XLOOKUP(Tabela4[[#This Row],[projeto_id]],projetos!A:A,projetos!O:O," ")</f>
        <v xml:space="preserve"> </v>
      </c>
      <c r="J50" s="26">
        <v>0</v>
      </c>
    </row>
    <row r="51" spans="1:10" x14ac:dyDescent="0.35">
      <c r="A51" s="26" t="s">
        <v>307</v>
      </c>
      <c r="B51" s="26">
        <f>IFERROR(_xlfn.XLOOKUP(Tabela4[[#This Row],[membro_nome]],Tabela3[nome],Tabela3[id])," ")</f>
        <v>0</v>
      </c>
      <c r="C51" s="30"/>
      <c r="D51" s="26" t="str">
        <f>IF(Tabela4[[#This Row],[projeto_nome]]=0," ",_xlfn.XLOOKUP(Tabela4[[#This Row],[projeto_nome]],projetos!B:B,projetos!A:A))</f>
        <v xml:space="preserve"> </v>
      </c>
      <c r="E51" s="30"/>
      <c r="F51" s="30" t="str">
        <f>IF(Tabela4[[#This Row],[projeto_nome]]=0," ",_xlfn.XLOOKUP(Tabela4[[#This Row],[projeto_nome]],projetos!B:B,projetos!C:C))</f>
        <v xml:space="preserve"> </v>
      </c>
      <c r="G51" s="30"/>
      <c r="H51" s="42" t="str">
        <f>IF(Tabela4[[#This Row],[projeto_nome]]=0," ",_xlfn.XLOOKUP(Tabela4[[#This Row],[projeto_id]],projetos!A:A,projetos!N:N," "))</f>
        <v xml:space="preserve"> </v>
      </c>
      <c r="I51" s="42" t="str">
        <f>_xlfn.XLOOKUP(Tabela4[[#This Row],[projeto_id]],projetos!A:A,projetos!O:O," ")</f>
        <v xml:space="preserve"> </v>
      </c>
      <c r="J51" s="26">
        <v>0</v>
      </c>
    </row>
    <row r="52" spans="1:10" x14ac:dyDescent="0.35">
      <c r="A52" s="26" t="s">
        <v>308</v>
      </c>
      <c r="B52" s="26">
        <f>IFERROR(_xlfn.XLOOKUP(Tabela4[[#This Row],[membro_nome]],Tabela3[nome],Tabela3[id])," ")</f>
        <v>0</v>
      </c>
      <c r="C52" s="30"/>
      <c r="D52" s="26" t="str">
        <f>IF(Tabela4[[#This Row],[projeto_nome]]=0," ",_xlfn.XLOOKUP(Tabela4[[#This Row],[projeto_nome]],projetos!B:B,projetos!A:A))</f>
        <v xml:space="preserve"> </v>
      </c>
      <c r="E52" s="30"/>
      <c r="F52" s="30" t="str">
        <f>IF(Tabela4[[#This Row],[projeto_nome]]=0," ",_xlfn.XLOOKUP(Tabela4[[#This Row],[projeto_nome]],projetos!B:B,projetos!C:C))</f>
        <v xml:space="preserve"> </v>
      </c>
      <c r="G52" s="30"/>
      <c r="H52" s="42" t="str">
        <f>IF(Tabela4[[#This Row],[projeto_nome]]=0," ",_xlfn.XLOOKUP(Tabela4[[#This Row],[projeto_id]],projetos!A:A,projetos!N:N," "))</f>
        <v xml:space="preserve"> </v>
      </c>
      <c r="I52" s="42" t="str">
        <f>_xlfn.XLOOKUP(Tabela4[[#This Row],[projeto_id]],projetos!A:A,projetos!O:O," ")</f>
        <v xml:space="preserve"> </v>
      </c>
      <c r="J52" s="26">
        <v>0</v>
      </c>
    </row>
    <row r="53" spans="1:10" x14ac:dyDescent="0.35">
      <c r="A53" s="26" t="s">
        <v>309</v>
      </c>
      <c r="B53" s="26">
        <f>IFERROR(_xlfn.XLOOKUP(Tabela4[[#This Row],[membro_nome]],Tabela3[nome],Tabela3[id])," ")</f>
        <v>0</v>
      </c>
      <c r="C53" s="30"/>
      <c r="D53" s="26" t="str">
        <f>IF(Tabela4[[#This Row],[projeto_nome]]=0," ",_xlfn.XLOOKUP(Tabela4[[#This Row],[projeto_nome]],projetos!B:B,projetos!A:A))</f>
        <v xml:space="preserve"> </v>
      </c>
      <c r="E53" s="30"/>
      <c r="F53" s="30" t="str">
        <f>IF(Tabela4[[#This Row],[projeto_nome]]=0," ",_xlfn.XLOOKUP(Tabela4[[#This Row],[projeto_nome]],projetos!B:B,projetos!C:C))</f>
        <v xml:space="preserve"> </v>
      </c>
      <c r="G53" s="30"/>
      <c r="H53" s="42" t="str">
        <f>IF(Tabela4[[#This Row],[projeto_nome]]=0," ",_xlfn.XLOOKUP(Tabela4[[#This Row],[projeto_id]],projetos!A:A,projetos!N:N," "))</f>
        <v xml:space="preserve"> </v>
      </c>
      <c r="I53" s="42" t="str">
        <f>_xlfn.XLOOKUP(Tabela4[[#This Row],[projeto_id]],projetos!A:A,projetos!O:O," ")</f>
        <v xml:space="preserve"> </v>
      </c>
      <c r="J53" s="26">
        <v>0</v>
      </c>
    </row>
    <row r="54" spans="1:10" x14ac:dyDescent="0.35">
      <c r="A54" s="26" t="s">
        <v>310</v>
      </c>
      <c r="B54" s="26">
        <f>IFERROR(_xlfn.XLOOKUP(Tabela4[[#This Row],[membro_nome]],Tabela3[nome],Tabela3[id])," ")</f>
        <v>0</v>
      </c>
      <c r="C54" s="30"/>
      <c r="D54" s="26" t="str">
        <f>IF(Tabela4[[#This Row],[projeto_nome]]=0," ",_xlfn.XLOOKUP(Tabela4[[#This Row],[projeto_nome]],projetos!B:B,projetos!A:A))</f>
        <v xml:space="preserve"> </v>
      </c>
      <c r="E54" s="30"/>
      <c r="F54" s="30" t="str">
        <f>IF(Tabela4[[#This Row],[projeto_nome]]=0," ",_xlfn.XLOOKUP(Tabela4[[#This Row],[projeto_nome]],projetos!B:B,projetos!C:C))</f>
        <v xml:space="preserve"> </v>
      </c>
      <c r="G54" s="30"/>
      <c r="H54" s="42" t="str">
        <f>IF(Tabela4[[#This Row],[projeto_nome]]=0," ",_xlfn.XLOOKUP(Tabela4[[#This Row],[projeto_id]],projetos!A:A,projetos!N:N," "))</f>
        <v xml:space="preserve"> </v>
      </c>
      <c r="I54" s="42" t="str">
        <f>_xlfn.XLOOKUP(Tabela4[[#This Row],[projeto_id]],projetos!A:A,projetos!O:O," ")</f>
        <v xml:space="preserve"> </v>
      </c>
      <c r="J54" s="26">
        <v>0</v>
      </c>
    </row>
    <row r="55" spans="1:10" x14ac:dyDescent="0.35">
      <c r="A55" s="26" t="s">
        <v>311</v>
      </c>
      <c r="B55" s="26">
        <f>IFERROR(_xlfn.XLOOKUP(Tabela4[[#This Row],[membro_nome]],Tabela3[nome],Tabela3[id])," ")</f>
        <v>0</v>
      </c>
      <c r="C55" s="30"/>
      <c r="D55" s="26" t="str">
        <f>IF(Tabela4[[#This Row],[projeto_nome]]=0," ",_xlfn.XLOOKUP(Tabela4[[#This Row],[projeto_nome]],projetos!B:B,projetos!A:A))</f>
        <v xml:space="preserve"> </v>
      </c>
      <c r="E55" s="30"/>
      <c r="F55" s="30" t="str">
        <f>IF(Tabela4[[#This Row],[projeto_nome]]=0," ",_xlfn.XLOOKUP(Tabela4[[#This Row],[projeto_nome]],projetos!B:B,projetos!C:C))</f>
        <v xml:space="preserve"> </v>
      </c>
      <c r="G55" s="30"/>
      <c r="H55" s="42" t="str">
        <f>IF(Tabela4[[#This Row],[projeto_nome]]=0," ",_xlfn.XLOOKUP(Tabela4[[#This Row],[projeto_id]],projetos!A:A,projetos!N:N," "))</f>
        <v xml:space="preserve"> </v>
      </c>
      <c r="I55" s="42" t="str">
        <f>_xlfn.XLOOKUP(Tabela4[[#This Row],[projeto_id]],projetos!A:A,projetos!O:O," ")</f>
        <v xml:space="preserve"> </v>
      </c>
      <c r="J55" s="26">
        <v>0</v>
      </c>
    </row>
    <row r="56" spans="1:10" x14ac:dyDescent="0.35">
      <c r="A56" s="26" t="s">
        <v>312</v>
      </c>
      <c r="B56" s="26">
        <f>IFERROR(_xlfn.XLOOKUP(Tabela4[[#This Row],[membro_nome]],Tabela3[nome],Tabela3[id])," ")</f>
        <v>0</v>
      </c>
      <c r="C56" s="30"/>
      <c r="D56" s="26" t="str">
        <f>IF(Tabela4[[#This Row],[projeto_nome]]=0," ",_xlfn.XLOOKUP(Tabela4[[#This Row],[projeto_nome]],projetos!B:B,projetos!A:A))</f>
        <v xml:space="preserve"> </v>
      </c>
      <c r="E56" s="30"/>
      <c r="F56" s="30" t="str">
        <f>IF(Tabela4[[#This Row],[projeto_nome]]=0," ",_xlfn.XLOOKUP(Tabela4[[#This Row],[projeto_nome]],projetos!B:B,projetos!C:C))</f>
        <v xml:space="preserve"> </v>
      </c>
      <c r="G56" s="30"/>
      <c r="H56" s="42" t="str">
        <f>IF(Tabela4[[#This Row],[projeto_nome]]=0," ",_xlfn.XLOOKUP(Tabela4[[#This Row],[projeto_id]],projetos!A:A,projetos!N:N," "))</f>
        <v xml:space="preserve"> </v>
      </c>
      <c r="I56" s="42" t="str">
        <f>_xlfn.XLOOKUP(Tabela4[[#This Row],[projeto_id]],projetos!A:A,projetos!O:O," ")</f>
        <v xml:space="preserve"> </v>
      </c>
      <c r="J56" s="26">
        <v>0</v>
      </c>
    </row>
    <row r="57" spans="1:10" x14ac:dyDescent="0.35">
      <c r="A57" s="26" t="s">
        <v>313</v>
      </c>
      <c r="B57" s="26">
        <f>IFERROR(_xlfn.XLOOKUP(Tabela4[[#This Row],[membro_nome]],Tabela3[nome],Tabela3[id])," ")</f>
        <v>0</v>
      </c>
      <c r="C57" s="30"/>
      <c r="D57" s="26" t="str">
        <f>IF(Tabela4[[#This Row],[projeto_nome]]=0," ",_xlfn.XLOOKUP(Tabela4[[#This Row],[projeto_nome]],projetos!B:B,projetos!A:A))</f>
        <v xml:space="preserve"> </v>
      </c>
      <c r="E57" s="30"/>
      <c r="F57" s="30" t="str">
        <f>IF(Tabela4[[#This Row],[projeto_nome]]=0," ",_xlfn.XLOOKUP(Tabela4[[#This Row],[projeto_nome]],projetos!B:B,projetos!C:C))</f>
        <v xml:space="preserve"> </v>
      </c>
      <c r="G57" s="30"/>
      <c r="H57" s="42" t="str">
        <f>IF(Tabela4[[#This Row],[projeto_nome]]=0," ",_xlfn.XLOOKUP(Tabela4[[#This Row],[projeto_id]],projetos!A:A,projetos!N:N," "))</f>
        <v xml:space="preserve"> </v>
      </c>
      <c r="I57" s="42" t="str">
        <f>_xlfn.XLOOKUP(Tabela4[[#This Row],[projeto_id]],projetos!A:A,projetos!O:O," ")</f>
        <v xml:space="preserve"> </v>
      </c>
      <c r="J57" s="26">
        <v>0</v>
      </c>
    </row>
  </sheetData>
  <sheetProtection algorithmName="SHA-512" hashValue="fUcGoKIU+qbz2BDSM1BhA+jBYm38THAb6hBXo7slgL79PeemOAUehfcaV0pnRqL4wOahjE6szAQnfzDBrVNBNQ==" saltValue="0gL4NCCC/MnzTEvShemgRg==" spinCount="100000" sheet="1" objects="1" scenarios="1" insertRows="0" deleteRows="0" sort="0" autoFilter="0"/>
  <protectedRanges>
    <protectedRange sqref="A2:J57" name="Intervalo1"/>
  </protectedRanges>
  <phoneticPr fontId="6" type="noConversion"/>
  <conditionalFormatting sqref="E8">
    <cfRule type="expression" dxfId="10" priority="1">
      <formula>$D8="Go Live"</formula>
    </cfRule>
    <cfRule type="expression" dxfId="9" priority="2">
      <formula>$D8="Levantando Informação"</formula>
    </cfRule>
    <cfRule type="expression" dxfId="8" priority="3">
      <formula>$D8="Aguardando Triagem"</formula>
    </cfRule>
    <cfRule type="expression" dxfId="7" priority="4">
      <formula>$D8="Backlog"</formula>
    </cfRule>
    <cfRule type="expression" dxfId="6" priority="5">
      <formula>$D8="Prototipando"</formula>
    </cfRule>
    <cfRule type="expression" dxfId="5" priority="6">
      <formula>$D8="Comitê Executivo"</formula>
    </cfRule>
    <cfRule type="expression" dxfId="4" priority="7">
      <formula>$D8="Desenvolvimento"</formula>
    </cfRule>
    <cfRule type="expression" dxfId="3" priority="8">
      <formula>$D8="Homologação"</formula>
    </cfRule>
    <cfRule type="expression" dxfId="2" priority="9">
      <formula>$D8="Gerando documentação M1"</formula>
    </cfRule>
    <cfRule type="expression" dxfId="1" priority="10">
      <formula>$D8="Entregue M1"</formula>
    </cfRule>
    <cfRule type="expression" dxfId="0" priority="11">
      <formula>$D8="Em produção"</formula>
    </cfRule>
  </conditionalFormatting>
  <pageMargins left="0.75" right="0.75" top="1" bottom="1" header="0.5" footer="0.5"/>
  <ignoredErrors>
    <ignoredError sqref="F8:F28 F33:F57 F3:F6" listDataValidation="1"/>
    <ignoredError sqref="D9" formula="1"/>
  </ignoredError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7E955B7-2B22-4690-A0F4-8CB87AC7A224}">
          <x14:formula1>
            <xm:f>membros_nucleo!$B$2:$B$15</xm:f>
          </x14:formula1>
          <xm:sqref>C2:C56</xm:sqref>
        </x14:dataValidation>
        <x14:dataValidation type="list" allowBlank="1" showInputMessage="1" showErrorMessage="1" xr:uid="{9BA57EF5-06AB-4937-BA8E-42483EC6AA1D}">
          <x14:formula1>
            <xm:f>projetos!$B:$B</xm:f>
          </x14:formula1>
          <xm:sqref>F3:F57 E9:E26 E2:E7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C2A0E-94DA-4532-9EF8-C4425AA79B41}">
  <dimension ref="A1:E844"/>
  <sheetViews>
    <sheetView topLeftCell="A780" workbookViewId="0">
      <selection activeCell="B2" sqref="B2"/>
    </sheetView>
  </sheetViews>
  <sheetFormatPr defaultRowHeight="14.5" x14ac:dyDescent="0.35"/>
  <cols>
    <col min="1" max="1" width="10.1796875" bestFit="1" customWidth="1"/>
    <col min="2" max="2" width="46.1796875" bestFit="1" customWidth="1"/>
    <col min="3" max="3" width="63.54296875" bestFit="1" customWidth="1"/>
    <col min="4" max="4" width="37.453125" bestFit="1" customWidth="1"/>
    <col min="5" max="5" width="11.81640625" bestFit="1" customWidth="1"/>
  </cols>
  <sheetData>
    <row r="1" spans="1:5" x14ac:dyDescent="0.35">
      <c r="A1" t="s">
        <v>314</v>
      </c>
      <c r="B1" t="s">
        <v>315</v>
      </c>
      <c r="C1" t="s">
        <v>316</v>
      </c>
      <c r="D1" t="s">
        <v>317</v>
      </c>
      <c r="E1" t="s">
        <v>318</v>
      </c>
    </row>
    <row r="2" spans="1:5" x14ac:dyDescent="0.35">
      <c r="A2" t="s">
        <v>319</v>
      </c>
      <c r="B2" t="s">
        <v>320</v>
      </c>
      <c r="C2" t="s">
        <v>321</v>
      </c>
      <c r="D2" t="s">
        <v>322</v>
      </c>
      <c r="E2">
        <v>1</v>
      </c>
    </row>
    <row r="3" spans="1:5" x14ac:dyDescent="0.35">
      <c r="A3" t="s">
        <v>323</v>
      </c>
      <c r="B3" t="s">
        <v>324</v>
      </c>
      <c r="C3" t="s">
        <v>325</v>
      </c>
      <c r="D3" t="s">
        <v>322</v>
      </c>
      <c r="E3">
        <v>1</v>
      </c>
    </row>
    <row r="4" spans="1:5" x14ac:dyDescent="0.35">
      <c r="A4" t="s">
        <v>326</v>
      </c>
      <c r="B4" t="s">
        <v>327</v>
      </c>
      <c r="C4" t="s">
        <v>321</v>
      </c>
      <c r="D4" t="s">
        <v>322</v>
      </c>
      <c r="E4">
        <v>1</v>
      </c>
    </row>
    <row r="5" spans="1:5" x14ac:dyDescent="0.35">
      <c r="A5" t="s">
        <v>328</v>
      </c>
      <c r="B5" t="s">
        <v>329</v>
      </c>
      <c r="C5" t="s">
        <v>330</v>
      </c>
      <c r="D5" t="s">
        <v>331</v>
      </c>
      <c r="E5">
        <v>1</v>
      </c>
    </row>
    <row r="6" spans="1:5" x14ac:dyDescent="0.35">
      <c r="A6" t="s">
        <v>332</v>
      </c>
      <c r="B6" t="s">
        <v>333</v>
      </c>
      <c r="C6" t="s">
        <v>334</v>
      </c>
      <c r="D6" t="s">
        <v>220</v>
      </c>
      <c r="E6">
        <v>1</v>
      </c>
    </row>
    <row r="7" spans="1:5" x14ac:dyDescent="0.35">
      <c r="A7" t="s">
        <v>335</v>
      </c>
      <c r="B7" t="s">
        <v>336</v>
      </c>
      <c r="C7" t="s">
        <v>337</v>
      </c>
      <c r="D7" t="s">
        <v>331</v>
      </c>
      <c r="E7">
        <v>1</v>
      </c>
    </row>
    <row r="8" spans="1:5" x14ac:dyDescent="0.35">
      <c r="A8" t="s">
        <v>338</v>
      </c>
      <c r="B8" t="s">
        <v>339</v>
      </c>
      <c r="C8" t="s">
        <v>340</v>
      </c>
      <c r="D8" t="s">
        <v>341</v>
      </c>
      <c r="E8">
        <v>1</v>
      </c>
    </row>
    <row r="9" spans="1:5" x14ac:dyDescent="0.35">
      <c r="A9" t="s">
        <v>342</v>
      </c>
      <c r="B9" t="s">
        <v>343</v>
      </c>
      <c r="C9" t="s">
        <v>344</v>
      </c>
      <c r="D9" t="s">
        <v>345</v>
      </c>
      <c r="E9">
        <v>2</v>
      </c>
    </row>
    <row r="10" spans="1:5" x14ac:dyDescent="0.35">
      <c r="A10" t="s">
        <v>346</v>
      </c>
      <c r="B10" t="s">
        <v>347</v>
      </c>
      <c r="C10" t="s">
        <v>348</v>
      </c>
      <c r="D10" t="s">
        <v>349</v>
      </c>
      <c r="E10">
        <v>1</v>
      </c>
    </row>
    <row r="11" spans="1:5" x14ac:dyDescent="0.35">
      <c r="A11" t="s">
        <v>350</v>
      </c>
      <c r="B11" t="s">
        <v>351</v>
      </c>
      <c r="C11" t="s">
        <v>352</v>
      </c>
      <c r="D11" t="s">
        <v>52</v>
      </c>
      <c r="E11">
        <v>2</v>
      </c>
    </row>
    <row r="12" spans="1:5" x14ac:dyDescent="0.35">
      <c r="A12" t="s">
        <v>353</v>
      </c>
      <c r="B12" t="s">
        <v>354</v>
      </c>
      <c r="C12" t="s">
        <v>355</v>
      </c>
      <c r="D12" t="s">
        <v>345</v>
      </c>
      <c r="E12">
        <v>2</v>
      </c>
    </row>
    <row r="13" spans="1:5" x14ac:dyDescent="0.35">
      <c r="A13" t="s">
        <v>356</v>
      </c>
      <c r="B13" t="s">
        <v>357</v>
      </c>
      <c r="C13" t="s">
        <v>358</v>
      </c>
      <c r="D13" t="s">
        <v>349</v>
      </c>
      <c r="E13">
        <v>1</v>
      </c>
    </row>
    <row r="14" spans="1:5" x14ac:dyDescent="0.35">
      <c r="A14" t="s">
        <v>359</v>
      </c>
      <c r="B14" t="s">
        <v>360</v>
      </c>
      <c r="C14" t="s">
        <v>361</v>
      </c>
      <c r="D14" t="s">
        <v>362</v>
      </c>
      <c r="E14">
        <v>1</v>
      </c>
    </row>
    <row r="15" spans="1:5" x14ac:dyDescent="0.35">
      <c r="A15" t="s">
        <v>363</v>
      </c>
      <c r="B15" t="s">
        <v>364</v>
      </c>
      <c r="C15" t="s">
        <v>365</v>
      </c>
      <c r="D15" t="s">
        <v>366</v>
      </c>
      <c r="E15">
        <v>2</v>
      </c>
    </row>
    <row r="16" spans="1:5" x14ac:dyDescent="0.35">
      <c r="A16" t="s">
        <v>367</v>
      </c>
      <c r="B16" t="s">
        <v>368</v>
      </c>
      <c r="C16" t="s">
        <v>369</v>
      </c>
      <c r="D16" t="s">
        <v>123</v>
      </c>
      <c r="E16">
        <v>2</v>
      </c>
    </row>
    <row r="17" spans="1:5" x14ac:dyDescent="0.35">
      <c r="A17" t="s">
        <v>370</v>
      </c>
      <c r="B17" t="s">
        <v>371</v>
      </c>
      <c r="C17" t="s">
        <v>372</v>
      </c>
      <c r="D17" t="s">
        <v>341</v>
      </c>
      <c r="E17">
        <v>1</v>
      </c>
    </row>
    <row r="18" spans="1:5" x14ac:dyDescent="0.35">
      <c r="A18" t="s">
        <v>373</v>
      </c>
      <c r="B18" t="s">
        <v>374</v>
      </c>
      <c r="C18" t="s">
        <v>375</v>
      </c>
      <c r="D18" t="s">
        <v>376</v>
      </c>
      <c r="E18">
        <v>2</v>
      </c>
    </row>
    <row r="19" spans="1:5" x14ac:dyDescent="0.35">
      <c r="A19" t="s">
        <v>377</v>
      </c>
      <c r="B19" t="s">
        <v>378</v>
      </c>
      <c r="C19" t="s">
        <v>379</v>
      </c>
      <c r="D19" t="s">
        <v>349</v>
      </c>
      <c r="E19">
        <v>2</v>
      </c>
    </row>
    <row r="20" spans="1:5" x14ac:dyDescent="0.35">
      <c r="A20" t="s">
        <v>380</v>
      </c>
      <c r="B20" t="s">
        <v>381</v>
      </c>
      <c r="C20" t="s">
        <v>382</v>
      </c>
      <c r="D20" t="s">
        <v>84</v>
      </c>
      <c r="E20">
        <v>1</v>
      </c>
    </row>
    <row r="21" spans="1:5" x14ac:dyDescent="0.35">
      <c r="A21" t="s">
        <v>383</v>
      </c>
      <c r="B21" t="s">
        <v>384</v>
      </c>
      <c r="C21" t="s">
        <v>385</v>
      </c>
      <c r="D21" t="s">
        <v>72</v>
      </c>
      <c r="E21">
        <v>2</v>
      </c>
    </row>
    <row r="22" spans="1:5" x14ac:dyDescent="0.35">
      <c r="A22" t="s">
        <v>386</v>
      </c>
      <c r="B22" t="s">
        <v>387</v>
      </c>
      <c r="C22" t="s">
        <v>388</v>
      </c>
      <c r="D22" t="s">
        <v>111</v>
      </c>
      <c r="E22">
        <v>2</v>
      </c>
    </row>
    <row r="23" spans="1:5" x14ac:dyDescent="0.35">
      <c r="A23" t="s">
        <v>389</v>
      </c>
      <c r="B23" t="s">
        <v>390</v>
      </c>
      <c r="C23" t="s">
        <v>391</v>
      </c>
      <c r="D23" t="s">
        <v>84</v>
      </c>
      <c r="E23">
        <v>1</v>
      </c>
    </row>
    <row r="24" spans="1:5" x14ac:dyDescent="0.35">
      <c r="A24" t="s">
        <v>392</v>
      </c>
      <c r="B24" t="s">
        <v>393</v>
      </c>
      <c r="C24" t="s">
        <v>394</v>
      </c>
      <c r="D24" t="s">
        <v>395</v>
      </c>
      <c r="E24">
        <v>2</v>
      </c>
    </row>
    <row r="25" spans="1:5" x14ac:dyDescent="0.35">
      <c r="A25" t="s">
        <v>396</v>
      </c>
      <c r="B25" t="s">
        <v>397</v>
      </c>
      <c r="C25" t="s">
        <v>398</v>
      </c>
      <c r="D25" t="s">
        <v>349</v>
      </c>
      <c r="E25">
        <v>2</v>
      </c>
    </row>
    <row r="26" spans="1:5" x14ac:dyDescent="0.35">
      <c r="A26" t="s">
        <v>399</v>
      </c>
      <c r="B26" t="s">
        <v>400</v>
      </c>
      <c r="C26" t="s">
        <v>358</v>
      </c>
      <c r="D26" t="s">
        <v>349</v>
      </c>
      <c r="E26">
        <v>1</v>
      </c>
    </row>
    <row r="27" spans="1:5" x14ac:dyDescent="0.35">
      <c r="A27" t="s">
        <v>401</v>
      </c>
      <c r="B27" t="s">
        <v>402</v>
      </c>
      <c r="C27" t="s">
        <v>403</v>
      </c>
      <c r="D27" t="s">
        <v>404</v>
      </c>
      <c r="E27">
        <v>2</v>
      </c>
    </row>
    <row r="28" spans="1:5" x14ac:dyDescent="0.35">
      <c r="A28" t="s">
        <v>405</v>
      </c>
      <c r="B28" t="s">
        <v>406</v>
      </c>
      <c r="C28" t="s">
        <v>407</v>
      </c>
      <c r="D28" t="s">
        <v>408</v>
      </c>
      <c r="E28">
        <v>1</v>
      </c>
    </row>
    <row r="29" spans="1:5" x14ac:dyDescent="0.35">
      <c r="A29" t="s">
        <v>409</v>
      </c>
      <c r="B29" t="s">
        <v>410</v>
      </c>
      <c r="C29" t="s">
        <v>411</v>
      </c>
      <c r="D29" t="s">
        <v>345</v>
      </c>
      <c r="E29">
        <v>2</v>
      </c>
    </row>
    <row r="30" spans="1:5" x14ac:dyDescent="0.35">
      <c r="A30" t="s">
        <v>412</v>
      </c>
      <c r="B30" t="s">
        <v>413</v>
      </c>
      <c r="C30" t="s">
        <v>414</v>
      </c>
      <c r="D30" t="s">
        <v>395</v>
      </c>
      <c r="E30">
        <v>2</v>
      </c>
    </row>
    <row r="31" spans="1:5" x14ac:dyDescent="0.35">
      <c r="A31" t="s">
        <v>415</v>
      </c>
      <c r="B31" t="s">
        <v>416</v>
      </c>
      <c r="C31" t="s">
        <v>417</v>
      </c>
      <c r="D31" t="s">
        <v>341</v>
      </c>
      <c r="E31">
        <v>2</v>
      </c>
    </row>
    <row r="32" spans="1:5" x14ac:dyDescent="0.35">
      <c r="A32" t="s">
        <v>418</v>
      </c>
      <c r="B32" t="s">
        <v>419</v>
      </c>
      <c r="C32" t="s">
        <v>420</v>
      </c>
      <c r="D32" t="s">
        <v>237</v>
      </c>
      <c r="E32">
        <v>2</v>
      </c>
    </row>
    <row r="33" spans="1:5" x14ac:dyDescent="0.35">
      <c r="A33" t="s">
        <v>421</v>
      </c>
      <c r="B33" t="s">
        <v>422</v>
      </c>
      <c r="C33" t="s">
        <v>344</v>
      </c>
      <c r="D33" t="s">
        <v>345</v>
      </c>
      <c r="E33">
        <v>2</v>
      </c>
    </row>
    <row r="34" spans="1:5" x14ac:dyDescent="0.35">
      <c r="A34" t="s">
        <v>423</v>
      </c>
      <c r="B34" t="s">
        <v>424</v>
      </c>
      <c r="C34" t="s">
        <v>425</v>
      </c>
      <c r="D34" t="s">
        <v>349</v>
      </c>
      <c r="E34">
        <v>2</v>
      </c>
    </row>
    <row r="35" spans="1:5" x14ac:dyDescent="0.35">
      <c r="A35" t="s">
        <v>426</v>
      </c>
      <c r="B35" t="s">
        <v>427</v>
      </c>
      <c r="C35" t="s">
        <v>428</v>
      </c>
      <c r="D35" t="s">
        <v>429</v>
      </c>
      <c r="E35">
        <v>2</v>
      </c>
    </row>
    <row r="36" spans="1:5" x14ac:dyDescent="0.35">
      <c r="A36" t="s">
        <v>430</v>
      </c>
      <c r="B36" t="s">
        <v>431</v>
      </c>
      <c r="C36" t="s">
        <v>432</v>
      </c>
      <c r="D36" t="s">
        <v>404</v>
      </c>
      <c r="E36">
        <v>1</v>
      </c>
    </row>
    <row r="37" spans="1:5" x14ac:dyDescent="0.35">
      <c r="A37" t="s">
        <v>433</v>
      </c>
      <c r="B37" t="s">
        <v>434</v>
      </c>
      <c r="C37" t="s">
        <v>435</v>
      </c>
      <c r="D37" t="s">
        <v>436</v>
      </c>
      <c r="E37">
        <v>1</v>
      </c>
    </row>
    <row r="38" spans="1:5" x14ac:dyDescent="0.35">
      <c r="A38" t="s">
        <v>437</v>
      </c>
      <c r="B38" t="s">
        <v>438</v>
      </c>
      <c r="C38" t="s">
        <v>439</v>
      </c>
      <c r="D38" t="s">
        <v>440</v>
      </c>
      <c r="E38">
        <v>1</v>
      </c>
    </row>
    <row r="39" spans="1:5" x14ac:dyDescent="0.35">
      <c r="A39" t="s">
        <v>441</v>
      </c>
      <c r="B39" t="s">
        <v>442</v>
      </c>
      <c r="C39" t="s">
        <v>443</v>
      </c>
      <c r="D39" t="s">
        <v>444</v>
      </c>
      <c r="E39">
        <v>1</v>
      </c>
    </row>
    <row r="40" spans="1:5" x14ac:dyDescent="0.35">
      <c r="A40" t="s">
        <v>445</v>
      </c>
      <c r="B40" t="s">
        <v>446</v>
      </c>
      <c r="C40" t="s">
        <v>428</v>
      </c>
      <c r="D40" t="s">
        <v>447</v>
      </c>
      <c r="E40">
        <v>1</v>
      </c>
    </row>
    <row r="41" spans="1:5" x14ac:dyDescent="0.35">
      <c r="A41" t="s">
        <v>448</v>
      </c>
      <c r="B41" t="s">
        <v>449</v>
      </c>
      <c r="C41" t="s">
        <v>428</v>
      </c>
      <c r="D41" t="s">
        <v>447</v>
      </c>
      <c r="E41">
        <v>1</v>
      </c>
    </row>
    <row r="42" spans="1:5" x14ac:dyDescent="0.35">
      <c r="A42" t="s">
        <v>450</v>
      </c>
      <c r="B42" t="s">
        <v>451</v>
      </c>
      <c r="C42" t="s">
        <v>452</v>
      </c>
      <c r="D42" t="s">
        <v>447</v>
      </c>
      <c r="E42">
        <v>1</v>
      </c>
    </row>
    <row r="43" spans="1:5" x14ac:dyDescent="0.35">
      <c r="A43" t="s">
        <v>453</v>
      </c>
      <c r="B43" t="s">
        <v>454</v>
      </c>
      <c r="C43" t="s">
        <v>452</v>
      </c>
      <c r="D43" t="s">
        <v>447</v>
      </c>
      <c r="E43">
        <v>2</v>
      </c>
    </row>
    <row r="44" spans="1:5" x14ac:dyDescent="0.35">
      <c r="A44" t="s">
        <v>455</v>
      </c>
      <c r="B44" t="s">
        <v>456</v>
      </c>
      <c r="C44" t="s">
        <v>457</v>
      </c>
      <c r="D44" t="s">
        <v>458</v>
      </c>
      <c r="E44">
        <v>1</v>
      </c>
    </row>
    <row r="45" spans="1:5" x14ac:dyDescent="0.35">
      <c r="A45" t="s">
        <v>459</v>
      </c>
      <c r="B45" t="s">
        <v>460</v>
      </c>
      <c r="C45" t="s">
        <v>461</v>
      </c>
      <c r="D45" t="s">
        <v>462</v>
      </c>
      <c r="E45">
        <v>1</v>
      </c>
    </row>
    <row r="46" spans="1:5" x14ac:dyDescent="0.35">
      <c r="A46" t="s">
        <v>463</v>
      </c>
      <c r="B46" t="s">
        <v>464</v>
      </c>
      <c r="C46" t="s">
        <v>452</v>
      </c>
      <c r="D46" t="s">
        <v>447</v>
      </c>
      <c r="E46">
        <v>2</v>
      </c>
    </row>
    <row r="47" spans="1:5" x14ac:dyDescent="0.35">
      <c r="A47" t="s">
        <v>465</v>
      </c>
      <c r="B47" t="s">
        <v>466</v>
      </c>
      <c r="C47" t="s">
        <v>452</v>
      </c>
      <c r="D47" t="s">
        <v>447</v>
      </c>
      <c r="E47">
        <v>1</v>
      </c>
    </row>
    <row r="48" spans="1:5" x14ac:dyDescent="0.35">
      <c r="A48" t="s">
        <v>467</v>
      </c>
      <c r="B48" t="s">
        <v>468</v>
      </c>
      <c r="C48" t="s">
        <v>452</v>
      </c>
      <c r="D48" t="s">
        <v>447</v>
      </c>
      <c r="E48">
        <v>1</v>
      </c>
    </row>
    <row r="49" spans="1:5" x14ac:dyDescent="0.35">
      <c r="A49" t="s">
        <v>469</v>
      </c>
      <c r="B49" t="s">
        <v>470</v>
      </c>
      <c r="C49" t="s">
        <v>471</v>
      </c>
      <c r="D49" t="s">
        <v>440</v>
      </c>
      <c r="E49">
        <v>1</v>
      </c>
    </row>
    <row r="50" spans="1:5" x14ac:dyDescent="0.35">
      <c r="A50" t="s">
        <v>472</v>
      </c>
      <c r="B50" t="s">
        <v>473</v>
      </c>
      <c r="C50" t="s">
        <v>474</v>
      </c>
      <c r="D50" t="s">
        <v>404</v>
      </c>
      <c r="E50">
        <v>1</v>
      </c>
    </row>
    <row r="51" spans="1:5" x14ac:dyDescent="0.35">
      <c r="A51" t="s">
        <v>475</v>
      </c>
      <c r="B51" t="s">
        <v>476</v>
      </c>
      <c r="C51" t="s">
        <v>452</v>
      </c>
      <c r="D51" t="s">
        <v>447</v>
      </c>
      <c r="E51">
        <v>1</v>
      </c>
    </row>
    <row r="52" spans="1:5" x14ac:dyDescent="0.35">
      <c r="A52" t="s">
        <v>477</v>
      </c>
      <c r="B52" t="s">
        <v>478</v>
      </c>
      <c r="C52" t="s">
        <v>461</v>
      </c>
      <c r="D52" t="s">
        <v>458</v>
      </c>
      <c r="E52">
        <v>1</v>
      </c>
    </row>
    <row r="53" spans="1:5" x14ac:dyDescent="0.35">
      <c r="A53" t="s">
        <v>479</v>
      </c>
      <c r="B53" t="s">
        <v>480</v>
      </c>
      <c r="C53" t="s">
        <v>348</v>
      </c>
      <c r="D53" t="s">
        <v>462</v>
      </c>
      <c r="E53">
        <v>1</v>
      </c>
    </row>
    <row r="54" spans="1:5" x14ac:dyDescent="0.35">
      <c r="A54" t="s">
        <v>481</v>
      </c>
      <c r="B54" t="s">
        <v>482</v>
      </c>
      <c r="C54" t="s">
        <v>483</v>
      </c>
      <c r="D54" t="s">
        <v>462</v>
      </c>
      <c r="E54">
        <v>1</v>
      </c>
    </row>
    <row r="55" spans="1:5" x14ac:dyDescent="0.35">
      <c r="A55" t="s">
        <v>484</v>
      </c>
      <c r="B55" t="s">
        <v>485</v>
      </c>
      <c r="C55" t="s">
        <v>348</v>
      </c>
      <c r="D55" t="s">
        <v>462</v>
      </c>
      <c r="E55">
        <v>1</v>
      </c>
    </row>
    <row r="56" spans="1:5" x14ac:dyDescent="0.35">
      <c r="A56" t="s">
        <v>486</v>
      </c>
      <c r="B56" t="s">
        <v>487</v>
      </c>
      <c r="C56" t="s">
        <v>488</v>
      </c>
      <c r="D56" t="s">
        <v>489</v>
      </c>
      <c r="E56">
        <v>1</v>
      </c>
    </row>
    <row r="57" spans="1:5" x14ac:dyDescent="0.35">
      <c r="A57" t="s">
        <v>490</v>
      </c>
      <c r="B57" t="s">
        <v>491</v>
      </c>
      <c r="C57" t="s">
        <v>488</v>
      </c>
      <c r="D57" t="s">
        <v>489</v>
      </c>
      <c r="E57">
        <v>1</v>
      </c>
    </row>
    <row r="58" spans="1:5" x14ac:dyDescent="0.35">
      <c r="A58" t="s">
        <v>492</v>
      </c>
      <c r="B58" t="s">
        <v>493</v>
      </c>
      <c r="C58" t="s">
        <v>452</v>
      </c>
      <c r="D58" t="s">
        <v>447</v>
      </c>
      <c r="E58">
        <v>1</v>
      </c>
    </row>
    <row r="59" spans="1:5" x14ac:dyDescent="0.35">
      <c r="A59" t="s">
        <v>494</v>
      </c>
      <c r="B59" t="s">
        <v>495</v>
      </c>
      <c r="C59" t="s">
        <v>496</v>
      </c>
      <c r="D59" t="s">
        <v>447</v>
      </c>
      <c r="E59">
        <v>1</v>
      </c>
    </row>
    <row r="60" spans="1:5" x14ac:dyDescent="0.35">
      <c r="A60" t="s">
        <v>497</v>
      </c>
      <c r="B60" t="s">
        <v>498</v>
      </c>
      <c r="C60" t="s">
        <v>496</v>
      </c>
      <c r="D60" t="s">
        <v>447</v>
      </c>
      <c r="E60">
        <v>1</v>
      </c>
    </row>
    <row r="61" spans="1:5" x14ac:dyDescent="0.35">
      <c r="A61" t="s">
        <v>499</v>
      </c>
      <c r="B61" t="s">
        <v>500</v>
      </c>
      <c r="C61" t="s">
        <v>501</v>
      </c>
      <c r="D61" t="s">
        <v>349</v>
      </c>
      <c r="E61">
        <v>2</v>
      </c>
    </row>
    <row r="62" spans="1:5" x14ac:dyDescent="0.35">
      <c r="A62" t="s">
        <v>502</v>
      </c>
      <c r="B62" t="s">
        <v>503</v>
      </c>
      <c r="C62" t="s">
        <v>504</v>
      </c>
      <c r="D62" t="s">
        <v>366</v>
      </c>
      <c r="E62">
        <v>2</v>
      </c>
    </row>
    <row r="63" spans="1:5" x14ac:dyDescent="0.35">
      <c r="A63" t="s">
        <v>505</v>
      </c>
      <c r="B63" t="s">
        <v>506</v>
      </c>
      <c r="C63" t="s">
        <v>355</v>
      </c>
      <c r="D63" t="s">
        <v>345</v>
      </c>
      <c r="E63">
        <v>2</v>
      </c>
    </row>
    <row r="64" spans="1:5" x14ac:dyDescent="0.35">
      <c r="A64" t="s">
        <v>507</v>
      </c>
      <c r="B64" t="s">
        <v>508</v>
      </c>
      <c r="C64" t="s">
        <v>355</v>
      </c>
      <c r="D64" t="s">
        <v>345</v>
      </c>
      <c r="E64">
        <v>2</v>
      </c>
    </row>
    <row r="65" spans="1:5" x14ac:dyDescent="0.35">
      <c r="A65" t="s">
        <v>509</v>
      </c>
      <c r="B65" t="s">
        <v>510</v>
      </c>
      <c r="C65" t="s">
        <v>511</v>
      </c>
      <c r="D65" t="s">
        <v>345</v>
      </c>
      <c r="E65">
        <v>2</v>
      </c>
    </row>
    <row r="66" spans="1:5" x14ac:dyDescent="0.35">
      <c r="A66" t="s">
        <v>512</v>
      </c>
      <c r="B66" t="s">
        <v>513</v>
      </c>
      <c r="C66" t="s">
        <v>514</v>
      </c>
      <c r="D66" t="s">
        <v>345</v>
      </c>
      <c r="E66">
        <v>2</v>
      </c>
    </row>
    <row r="67" spans="1:5" x14ac:dyDescent="0.35">
      <c r="A67" t="s">
        <v>515</v>
      </c>
      <c r="B67" t="s">
        <v>516</v>
      </c>
      <c r="C67" t="s">
        <v>379</v>
      </c>
      <c r="D67" t="s">
        <v>349</v>
      </c>
      <c r="E67">
        <v>2</v>
      </c>
    </row>
    <row r="68" spans="1:5" x14ac:dyDescent="0.35">
      <c r="A68" t="s">
        <v>517</v>
      </c>
      <c r="B68" t="s">
        <v>518</v>
      </c>
      <c r="C68" t="s">
        <v>519</v>
      </c>
      <c r="D68" t="s">
        <v>520</v>
      </c>
      <c r="E68">
        <v>2</v>
      </c>
    </row>
    <row r="69" spans="1:5" x14ac:dyDescent="0.35">
      <c r="A69" t="s">
        <v>521</v>
      </c>
      <c r="B69" t="s">
        <v>522</v>
      </c>
      <c r="C69" t="s">
        <v>523</v>
      </c>
      <c r="D69" t="s">
        <v>362</v>
      </c>
      <c r="E69">
        <v>2</v>
      </c>
    </row>
    <row r="70" spans="1:5" x14ac:dyDescent="0.35">
      <c r="A70" t="s">
        <v>524</v>
      </c>
      <c r="B70" t="s">
        <v>525</v>
      </c>
      <c r="C70" t="s">
        <v>526</v>
      </c>
      <c r="D70" t="s">
        <v>341</v>
      </c>
      <c r="E70">
        <v>2</v>
      </c>
    </row>
    <row r="71" spans="1:5" x14ac:dyDescent="0.35">
      <c r="A71" t="s">
        <v>527</v>
      </c>
      <c r="B71" t="s">
        <v>528</v>
      </c>
      <c r="C71" t="s">
        <v>529</v>
      </c>
      <c r="D71" t="s">
        <v>362</v>
      </c>
      <c r="E71">
        <v>2</v>
      </c>
    </row>
    <row r="72" spans="1:5" x14ac:dyDescent="0.35">
      <c r="A72" t="s">
        <v>530</v>
      </c>
      <c r="B72" t="s">
        <v>531</v>
      </c>
      <c r="C72" t="s">
        <v>348</v>
      </c>
      <c r="D72" t="s">
        <v>349</v>
      </c>
      <c r="E72">
        <v>2</v>
      </c>
    </row>
    <row r="73" spans="1:5" x14ac:dyDescent="0.35">
      <c r="A73" t="s">
        <v>532</v>
      </c>
      <c r="B73" t="s">
        <v>533</v>
      </c>
      <c r="C73" t="s">
        <v>534</v>
      </c>
      <c r="D73" t="s">
        <v>429</v>
      </c>
      <c r="E73">
        <v>2</v>
      </c>
    </row>
    <row r="74" spans="1:5" x14ac:dyDescent="0.35">
      <c r="A74" t="s">
        <v>535</v>
      </c>
      <c r="B74" t="s">
        <v>536</v>
      </c>
      <c r="C74" t="s">
        <v>537</v>
      </c>
      <c r="D74" t="s">
        <v>72</v>
      </c>
      <c r="E74">
        <v>2</v>
      </c>
    </row>
    <row r="75" spans="1:5" x14ac:dyDescent="0.35">
      <c r="A75" t="s">
        <v>538</v>
      </c>
      <c r="B75" t="s">
        <v>539</v>
      </c>
      <c r="C75" t="s">
        <v>540</v>
      </c>
      <c r="D75" t="s">
        <v>541</v>
      </c>
      <c r="E75">
        <v>2</v>
      </c>
    </row>
    <row r="76" spans="1:5" x14ac:dyDescent="0.35">
      <c r="A76" t="s">
        <v>542</v>
      </c>
      <c r="B76" t="s">
        <v>543</v>
      </c>
      <c r="C76" t="s">
        <v>544</v>
      </c>
      <c r="D76" t="s">
        <v>541</v>
      </c>
      <c r="E76">
        <v>2</v>
      </c>
    </row>
    <row r="77" spans="1:5" x14ac:dyDescent="0.35">
      <c r="A77" t="s">
        <v>545</v>
      </c>
      <c r="B77" t="s">
        <v>546</v>
      </c>
      <c r="C77" t="s">
        <v>534</v>
      </c>
      <c r="D77" t="s">
        <v>158</v>
      </c>
      <c r="E77">
        <v>2</v>
      </c>
    </row>
    <row r="78" spans="1:5" x14ac:dyDescent="0.35">
      <c r="A78" t="s">
        <v>547</v>
      </c>
      <c r="B78" t="s">
        <v>548</v>
      </c>
      <c r="C78" t="s">
        <v>549</v>
      </c>
      <c r="D78" t="s">
        <v>541</v>
      </c>
      <c r="E78">
        <v>2</v>
      </c>
    </row>
    <row r="79" spans="1:5" x14ac:dyDescent="0.35">
      <c r="A79" t="s">
        <v>550</v>
      </c>
      <c r="B79" t="s">
        <v>551</v>
      </c>
      <c r="C79" t="s">
        <v>552</v>
      </c>
      <c r="D79" t="s">
        <v>142</v>
      </c>
      <c r="E79">
        <v>2</v>
      </c>
    </row>
    <row r="80" spans="1:5" x14ac:dyDescent="0.35">
      <c r="A80" t="s">
        <v>553</v>
      </c>
      <c r="B80" t="s">
        <v>554</v>
      </c>
      <c r="C80" t="s">
        <v>555</v>
      </c>
      <c r="D80" t="s">
        <v>556</v>
      </c>
      <c r="E80">
        <v>2</v>
      </c>
    </row>
    <row r="81" spans="1:5" x14ac:dyDescent="0.35">
      <c r="A81" t="s">
        <v>557</v>
      </c>
      <c r="B81" t="s">
        <v>558</v>
      </c>
      <c r="C81" t="s">
        <v>417</v>
      </c>
      <c r="D81" t="s">
        <v>341</v>
      </c>
      <c r="E81">
        <v>2</v>
      </c>
    </row>
    <row r="82" spans="1:5" x14ac:dyDescent="0.35">
      <c r="A82" t="s">
        <v>559</v>
      </c>
      <c r="B82" t="s">
        <v>560</v>
      </c>
      <c r="C82" t="s">
        <v>561</v>
      </c>
      <c r="D82" t="s">
        <v>429</v>
      </c>
      <c r="E82">
        <v>2</v>
      </c>
    </row>
    <row r="83" spans="1:5" x14ac:dyDescent="0.35">
      <c r="A83" t="s">
        <v>562</v>
      </c>
      <c r="B83" t="s">
        <v>563</v>
      </c>
      <c r="C83" t="s">
        <v>564</v>
      </c>
      <c r="D83" t="s">
        <v>556</v>
      </c>
      <c r="E83">
        <v>2</v>
      </c>
    </row>
    <row r="84" spans="1:5" x14ac:dyDescent="0.35">
      <c r="A84" t="s">
        <v>565</v>
      </c>
      <c r="B84" t="s">
        <v>566</v>
      </c>
      <c r="C84" t="s">
        <v>567</v>
      </c>
      <c r="D84" t="s">
        <v>341</v>
      </c>
      <c r="E84">
        <v>1</v>
      </c>
    </row>
    <row r="85" spans="1:5" x14ac:dyDescent="0.35">
      <c r="A85" t="s">
        <v>568</v>
      </c>
      <c r="B85" t="s">
        <v>569</v>
      </c>
      <c r="C85" t="s">
        <v>552</v>
      </c>
      <c r="D85" t="s">
        <v>142</v>
      </c>
      <c r="E85">
        <v>2</v>
      </c>
    </row>
    <row r="86" spans="1:5" x14ac:dyDescent="0.35">
      <c r="A86" t="s">
        <v>570</v>
      </c>
      <c r="B86" t="s">
        <v>571</v>
      </c>
      <c r="C86" t="s">
        <v>572</v>
      </c>
      <c r="D86" t="s">
        <v>556</v>
      </c>
      <c r="E86">
        <v>2</v>
      </c>
    </row>
    <row r="87" spans="1:5" x14ac:dyDescent="0.35">
      <c r="A87" t="s">
        <v>573</v>
      </c>
      <c r="B87" t="s">
        <v>574</v>
      </c>
      <c r="C87" t="s">
        <v>575</v>
      </c>
      <c r="D87" t="s">
        <v>131</v>
      </c>
      <c r="E87">
        <v>2</v>
      </c>
    </row>
    <row r="88" spans="1:5" x14ac:dyDescent="0.35">
      <c r="A88" t="s">
        <v>576</v>
      </c>
      <c r="B88" t="s">
        <v>577</v>
      </c>
      <c r="C88" t="s">
        <v>578</v>
      </c>
      <c r="D88" t="s">
        <v>556</v>
      </c>
      <c r="E88">
        <v>2</v>
      </c>
    </row>
    <row r="89" spans="1:5" x14ac:dyDescent="0.35">
      <c r="A89" t="s">
        <v>579</v>
      </c>
      <c r="B89" t="s">
        <v>580</v>
      </c>
      <c r="C89" t="s">
        <v>581</v>
      </c>
      <c r="D89" t="s">
        <v>158</v>
      </c>
      <c r="E89">
        <v>2</v>
      </c>
    </row>
    <row r="90" spans="1:5" x14ac:dyDescent="0.35">
      <c r="A90" t="s">
        <v>582</v>
      </c>
      <c r="B90" t="s">
        <v>583</v>
      </c>
      <c r="C90" t="s">
        <v>584</v>
      </c>
      <c r="D90" t="s">
        <v>429</v>
      </c>
      <c r="E90">
        <v>1</v>
      </c>
    </row>
    <row r="91" spans="1:5" x14ac:dyDescent="0.35">
      <c r="A91" t="s">
        <v>585</v>
      </c>
      <c r="B91" t="s">
        <v>586</v>
      </c>
      <c r="C91" t="s">
        <v>587</v>
      </c>
      <c r="D91" t="s">
        <v>111</v>
      </c>
      <c r="E91">
        <v>2</v>
      </c>
    </row>
    <row r="92" spans="1:5" x14ac:dyDescent="0.35">
      <c r="A92" t="s">
        <v>588</v>
      </c>
      <c r="B92" t="s">
        <v>589</v>
      </c>
      <c r="C92" t="s">
        <v>572</v>
      </c>
      <c r="D92" t="s">
        <v>556</v>
      </c>
      <c r="E92">
        <v>2</v>
      </c>
    </row>
    <row r="93" spans="1:5" x14ac:dyDescent="0.35">
      <c r="A93" t="s">
        <v>590</v>
      </c>
      <c r="B93" t="s">
        <v>591</v>
      </c>
      <c r="C93" t="s">
        <v>592</v>
      </c>
      <c r="D93" t="s">
        <v>341</v>
      </c>
      <c r="E93">
        <v>2</v>
      </c>
    </row>
    <row r="94" spans="1:5" x14ac:dyDescent="0.35">
      <c r="A94" t="s">
        <v>593</v>
      </c>
      <c r="B94" t="s">
        <v>594</v>
      </c>
      <c r="C94" t="s">
        <v>595</v>
      </c>
      <c r="D94" t="s">
        <v>341</v>
      </c>
      <c r="E94">
        <v>2</v>
      </c>
    </row>
    <row r="95" spans="1:5" x14ac:dyDescent="0.35">
      <c r="A95" t="s">
        <v>596</v>
      </c>
      <c r="B95" t="s">
        <v>597</v>
      </c>
      <c r="C95" t="s">
        <v>598</v>
      </c>
      <c r="D95" t="s">
        <v>366</v>
      </c>
      <c r="E95">
        <v>2</v>
      </c>
    </row>
    <row r="96" spans="1:5" x14ac:dyDescent="0.35">
      <c r="A96" t="s">
        <v>599</v>
      </c>
      <c r="B96" t="s">
        <v>600</v>
      </c>
      <c r="C96" t="s">
        <v>601</v>
      </c>
      <c r="D96" t="s">
        <v>429</v>
      </c>
      <c r="E96">
        <v>2</v>
      </c>
    </row>
    <row r="97" spans="1:5" x14ac:dyDescent="0.35">
      <c r="A97" t="s">
        <v>602</v>
      </c>
      <c r="B97" t="s">
        <v>603</v>
      </c>
      <c r="C97" t="s">
        <v>534</v>
      </c>
      <c r="D97" t="s">
        <v>429</v>
      </c>
      <c r="E97">
        <v>2</v>
      </c>
    </row>
    <row r="98" spans="1:5" x14ac:dyDescent="0.35">
      <c r="A98" t="s">
        <v>604</v>
      </c>
      <c r="B98" t="s">
        <v>605</v>
      </c>
      <c r="C98" t="s">
        <v>606</v>
      </c>
      <c r="D98" t="s">
        <v>341</v>
      </c>
      <c r="E98">
        <v>2</v>
      </c>
    </row>
    <row r="99" spans="1:5" x14ac:dyDescent="0.35">
      <c r="A99" t="s">
        <v>607</v>
      </c>
      <c r="B99" t="s">
        <v>608</v>
      </c>
      <c r="C99" t="s">
        <v>609</v>
      </c>
      <c r="D99" t="s">
        <v>556</v>
      </c>
      <c r="E99">
        <v>1</v>
      </c>
    </row>
    <row r="100" spans="1:5" x14ac:dyDescent="0.35">
      <c r="A100" t="s">
        <v>610</v>
      </c>
      <c r="B100" t="s">
        <v>611</v>
      </c>
      <c r="C100" t="s">
        <v>612</v>
      </c>
      <c r="D100" t="s">
        <v>220</v>
      </c>
      <c r="E100">
        <v>1</v>
      </c>
    </row>
    <row r="101" spans="1:5" x14ac:dyDescent="0.35">
      <c r="A101" t="s">
        <v>613</v>
      </c>
      <c r="B101" t="s">
        <v>614</v>
      </c>
      <c r="C101" t="s">
        <v>615</v>
      </c>
      <c r="D101" t="s">
        <v>541</v>
      </c>
      <c r="E101">
        <v>1</v>
      </c>
    </row>
    <row r="102" spans="1:5" x14ac:dyDescent="0.35">
      <c r="A102" t="s">
        <v>616</v>
      </c>
      <c r="B102" t="s">
        <v>617</v>
      </c>
      <c r="C102" t="s">
        <v>618</v>
      </c>
      <c r="D102" t="s">
        <v>429</v>
      </c>
      <c r="E102">
        <v>2</v>
      </c>
    </row>
    <row r="103" spans="1:5" x14ac:dyDescent="0.35">
      <c r="A103" t="s">
        <v>619</v>
      </c>
      <c r="B103" t="s">
        <v>620</v>
      </c>
      <c r="C103" t="s">
        <v>621</v>
      </c>
      <c r="D103" t="s">
        <v>622</v>
      </c>
      <c r="E103">
        <v>2</v>
      </c>
    </row>
    <row r="104" spans="1:5" x14ac:dyDescent="0.35">
      <c r="A104" t="s">
        <v>623</v>
      </c>
      <c r="B104" t="s">
        <v>624</v>
      </c>
      <c r="C104" t="s">
        <v>625</v>
      </c>
      <c r="D104" t="s">
        <v>626</v>
      </c>
      <c r="E104">
        <v>1</v>
      </c>
    </row>
    <row r="105" spans="1:5" x14ac:dyDescent="0.35">
      <c r="A105" t="s">
        <v>627</v>
      </c>
      <c r="B105" t="s">
        <v>628</v>
      </c>
      <c r="C105" t="s">
        <v>592</v>
      </c>
      <c r="D105" t="s">
        <v>341</v>
      </c>
      <c r="E105">
        <v>2</v>
      </c>
    </row>
    <row r="106" spans="1:5" x14ac:dyDescent="0.35">
      <c r="A106" t="s">
        <v>629</v>
      </c>
      <c r="B106" t="s">
        <v>630</v>
      </c>
      <c r="C106" t="s">
        <v>631</v>
      </c>
      <c r="D106" t="s">
        <v>541</v>
      </c>
      <c r="E106">
        <v>1</v>
      </c>
    </row>
    <row r="107" spans="1:5" x14ac:dyDescent="0.35">
      <c r="A107" t="s">
        <v>632</v>
      </c>
      <c r="B107" t="s">
        <v>633</v>
      </c>
      <c r="C107" t="s">
        <v>634</v>
      </c>
      <c r="D107" t="s">
        <v>541</v>
      </c>
      <c r="E107">
        <v>1</v>
      </c>
    </row>
    <row r="108" spans="1:5" x14ac:dyDescent="0.35">
      <c r="A108" t="s">
        <v>635</v>
      </c>
      <c r="B108" t="s">
        <v>636</v>
      </c>
      <c r="C108" t="s">
        <v>358</v>
      </c>
      <c r="D108" t="s">
        <v>349</v>
      </c>
      <c r="E108">
        <v>2</v>
      </c>
    </row>
    <row r="109" spans="1:5" x14ac:dyDescent="0.35">
      <c r="A109" t="s">
        <v>637</v>
      </c>
      <c r="B109" t="s">
        <v>638</v>
      </c>
      <c r="C109" t="s">
        <v>639</v>
      </c>
      <c r="D109" t="s">
        <v>408</v>
      </c>
      <c r="E109">
        <v>1</v>
      </c>
    </row>
    <row r="110" spans="1:5" x14ac:dyDescent="0.35">
      <c r="A110" t="s">
        <v>640</v>
      </c>
      <c r="B110" t="s">
        <v>641</v>
      </c>
      <c r="C110" t="s">
        <v>642</v>
      </c>
      <c r="D110" t="s">
        <v>362</v>
      </c>
      <c r="E110">
        <v>2</v>
      </c>
    </row>
    <row r="111" spans="1:5" x14ac:dyDescent="0.35">
      <c r="A111" t="s">
        <v>643</v>
      </c>
      <c r="B111" t="s">
        <v>644</v>
      </c>
      <c r="C111" t="s">
        <v>534</v>
      </c>
      <c r="D111" t="s">
        <v>429</v>
      </c>
      <c r="E111">
        <v>2</v>
      </c>
    </row>
    <row r="112" spans="1:5" x14ac:dyDescent="0.35">
      <c r="A112" t="s">
        <v>645</v>
      </c>
      <c r="B112" t="s">
        <v>646</v>
      </c>
      <c r="C112" t="s">
        <v>647</v>
      </c>
      <c r="D112" t="s">
        <v>220</v>
      </c>
      <c r="E112">
        <v>2</v>
      </c>
    </row>
    <row r="113" spans="1:5" x14ac:dyDescent="0.35">
      <c r="A113" t="s">
        <v>648</v>
      </c>
      <c r="B113" t="s">
        <v>649</v>
      </c>
      <c r="C113" t="s">
        <v>650</v>
      </c>
      <c r="D113" t="s">
        <v>520</v>
      </c>
      <c r="E113">
        <v>2</v>
      </c>
    </row>
    <row r="114" spans="1:5" x14ac:dyDescent="0.35">
      <c r="A114" t="s">
        <v>651</v>
      </c>
      <c r="B114" t="s">
        <v>652</v>
      </c>
      <c r="C114" t="s">
        <v>653</v>
      </c>
      <c r="D114" t="s">
        <v>158</v>
      </c>
      <c r="E114">
        <v>1</v>
      </c>
    </row>
    <row r="115" spans="1:5" x14ac:dyDescent="0.35">
      <c r="A115" t="s">
        <v>654</v>
      </c>
      <c r="B115" t="s">
        <v>655</v>
      </c>
      <c r="C115" t="s">
        <v>656</v>
      </c>
      <c r="D115" t="s">
        <v>541</v>
      </c>
      <c r="E115">
        <v>1</v>
      </c>
    </row>
    <row r="116" spans="1:5" x14ac:dyDescent="0.35">
      <c r="A116" t="s">
        <v>657</v>
      </c>
      <c r="B116" t="s">
        <v>658</v>
      </c>
      <c r="C116" t="s">
        <v>659</v>
      </c>
      <c r="D116" t="s">
        <v>158</v>
      </c>
      <c r="E116">
        <v>2</v>
      </c>
    </row>
    <row r="117" spans="1:5" x14ac:dyDescent="0.35">
      <c r="A117" t="s">
        <v>660</v>
      </c>
      <c r="B117" t="s">
        <v>661</v>
      </c>
      <c r="C117" t="s">
        <v>662</v>
      </c>
      <c r="D117" t="s">
        <v>541</v>
      </c>
      <c r="E117">
        <v>1</v>
      </c>
    </row>
    <row r="118" spans="1:5" x14ac:dyDescent="0.35">
      <c r="A118" t="s">
        <v>663</v>
      </c>
      <c r="B118" t="s">
        <v>664</v>
      </c>
      <c r="C118" t="s">
        <v>606</v>
      </c>
      <c r="D118" t="s">
        <v>341</v>
      </c>
      <c r="E118">
        <v>2</v>
      </c>
    </row>
    <row r="119" spans="1:5" x14ac:dyDescent="0.35">
      <c r="A119" t="s">
        <v>665</v>
      </c>
      <c r="B119" t="s">
        <v>666</v>
      </c>
      <c r="C119" t="s">
        <v>667</v>
      </c>
      <c r="D119" t="s">
        <v>668</v>
      </c>
      <c r="E119">
        <v>1</v>
      </c>
    </row>
    <row r="120" spans="1:5" x14ac:dyDescent="0.35">
      <c r="A120" t="s">
        <v>669</v>
      </c>
      <c r="B120" t="s">
        <v>670</v>
      </c>
      <c r="C120" t="s">
        <v>671</v>
      </c>
      <c r="D120" t="s">
        <v>345</v>
      </c>
      <c r="E120">
        <v>1</v>
      </c>
    </row>
    <row r="121" spans="1:5" x14ac:dyDescent="0.35">
      <c r="A121" t="s">
        <v>672</v>
      </c>
      <c r="B121" t="s">
        <v>673</v>
      </c>
      <c r="C121" t="s">
        <v>674</v>
      </c>
      <c r="D121" t="s">
        <v>520</v>
      </c>
      <c r="E121">
        <v>1</v>
      </c>
    </row>
    <row r="122" spans="1:5" x14ac:dyDescent="0.35">
      <c r="A122" t="s">
        <v>675</v>
      </c>
      <c r="B122" t="s">
        <v>676</v>
      </c>
      <c r="C122" t="s">
        <v>534</v>
      </c>
      <c r="D122" t="s">
        <v>158</v>
      </c>
      <c r="E122">
        <v>2</v>
      </c>
    </row>
    <row r="123" spans="1:5" x14ac:dyDescent="0.35">
      <c r="A123" t="s">
        <v>677</v>
      </c>
      <c r="B123" t="s">
        <v>678</v>
      </c>
      <c r="C123" t="s">
        <v>679</v>
      </c>
      <c r="D123" t="s">
        <v>72</v>
      </c>
      <c r="E123">
        <v>2</v>
      </c>
    </row>
    <row r="124" spans="1:5" x14ac:dyDescent="0.35">
      <c r="A124" t="s">
        <v>680</v>
      </c>
      <c r="B124" t="s">
        <v>681</v>
      </c>
      <c r="C124" t="s">
        <v>682</v>
      </c>
      <c r="D124" t="s">
        <v>237</v>
      </c>
      <c r="E124">
        <v>1</v>
      </c>
    </row>
    <row r="125" spans="1:5" x14ac:dyDescent="0.35">
      <c r="A125" t="s">
        <v>683</v>
      </c>
      <c r="B125" t="s">
        <v>684</v>
      </c>
      <c r="C125" t="s">
        <v>685</v>
      </c>
      <c r="D125" t="s">
        <v>211</v>
      </c>
      <c r="E125">
        <v>2</v>
      </c>
    </row>
    <row r="126" spans="1:5" x14ac:dyDescent="0.35">
      <c r="A126" t="s">
        <v>686</v>
      </c>
      <c r="B126" t="s">
        <v>687</v>
      </c>
      <c r="C126" t="s">
        <v>688</v>
      </c>
      <c r="D126" t="s">
        <v>541</v>
      </c>
      <c r="E126">
        <v>1</v>
      </c>
    </row>
    <row r="127" spans="1:5" x14ac:dyDescent="0.35">
      <c r="A127" t="s">
        <v>689</v>
      </c>
      <c r="B127" t="s">
        <v>690</v>
      </c>
      <c r="C127" t="s">
        <v>691</v>
      </c>
      <c r="D127" t="s">
        <v>429</v>
      </c>
      <c r="E127">
        <v>2</v>
      </c>
    </row>
    <row r="128" spans="1:5" x14ac:dyDescent="0.35">
      <c r="A128" t="s">
        <v>692</v>
      </c>
      <c r="B128" t="s">
        <v>693</v>
      </c>
      <c r="C128" t="s">
        <v>694</v>
      </c>
      <c r="D128" t="s">
        <v>349</v>
      </c>
      <c r="E128">
        <v>2</v>
      </c>
    </row>
    <row r="129" spans="1:5" x14ac:dyDescent="0.35">
      <c r="A129" t="s">
        <v>695</v>
      </c>
      <c r="B129" t="s">
        <v>696</v>
      </c>
      <c r="C129" t="s">
        <v>697</v>
      </c>
      <c r="D129" t="s">
        <v>362</v>
      </c>
      <c r="E129">
        <v>2</v>
      </c>
    </row>
    <row r="130" spans="1:5" x14ac:dyDescent="0.35">
      <c r="A130" t="s">
        <v>698</v>
      </c>
      <c r="B130" t="s">
        <v>699</v>
      </c>
      <c r="C130" t="s">
        <v>700</v>
      </c>
      <c r="D130" t="s">
        <v>341</v>
      </c>
      <c r="E130">
        <v>2</v>
      </c>
    </row>
    <row r="131" spans="1:5" x14ac:dyDescent="0.35">
      <c r="A131" t="s">
        <v>701</v>
      </c>
      <c r="B131" t="s">
        <v>702</v>
      </c>
      <c r="C131" t="s">
        <v>703</v>
      </c>
      <c r="D131" t="s">
        <v>142</v>
      </c>
      <c r="E131">
        <v>1</v>
      </c>
    </row>
    <row r="132" spans="1:5" x14ac:dyDescent="0.35">
      <c r="A132" t="s">
        <v>704</v>
      </c>
      <c r="B132" t="s">
        <v>705</v>
      </c>
      <c r="C132" t="s">
        <v>706</v>
      </c>
      <c r="D132" t="s">
        <v>345</v>
      </c>
      <c r="E132">
        <v>1</v>
      </c>
    </row>
    <row r="133" spans="1:5" x14ac:dyDescent="0.35">
      <c r="A133" t="s">
        <v>707</v>
      </c>
      <c r="B133" t="s">
        <v>708</v>
      </c>
      <c r="C133" t="s">
        <v>584</v>
      </c>
      <c r="D133" t="s">
        <v>429</v>
      </c>
      <c r="E133">
        <v>1</v>
      </c>
    </row>
    <row r="134" spans="1:5" x14ac:dyDescent="0.35">
      <c r="A134" t="s">
        <v>709</v>
      </c>
      <c r="B134" t="s">
        <v>710</v>
      </c>
      <c r="C134" t="s">
        <v>711</v>
      </c>
      <c r="D134" t="s">
        <v>520</v>
      </c>
      <c r="E134">
        <v>1</v>
      </c>
    </row>
    <row r="135" spans="1:5" x14ac:dyDescent="0.35">
      <c r="A135" t="s">
        <v>712</v>
      </c>
      <c r="B135" t="s">
        <v>713</v>
      </c>
      <c r="C135" t="s">
        <v>615</v>
      </c>
      <c r="D135" t="s">
        <v>541</v>
      </c>
      <c r="E135">
        <v>1</v>
      </c>
    </row>
    <row r="136" spans="1:5" x14ac:dyDescent="0.35">
      <c r="A136" t="s">
        <v>714</v>
      </c>
      <c r="B136" t="s">
        <v>715</v>
      </c>
      <c r="C136" t="s">
        <v>355</v>
      </c>
      <c r="D136" t="s">
        <v>345</v>
      </c>
      <c r="E136">
        <v>1</v>
      </c>
    </row>
    <row r="137" spans="1:5" x14ac:dyDescent="0.35">
      <c r="A137" t="s">
        <v>716</v>
      </c>
      <c r="B137" t="s">
        <v>717</v>
      </c>
      <c r="C137" t="s">
        <v>694</v>
      </c>
      <c r="D137" t="s">
        <v>349</v>
      </c>
      <c r="E137">
        <v>1</v>
      </c>
    </row>
    <row r="138" spans="1:5" x14ac:dyDescent="0.35">
      <c r="A138" t="s">
        <v>718</v>
      </c>
      <c r="B138" t="s">
        <v>719</v>
      </c>
      <c r="C138" t="s">
        <v>514</v>
      </c>
      <c r="D138" t="s">
        <v>345</v>
      </c>
      <c r="E138">
        <v>2</v>
      </c>
    </row>
    <row r="139" spans="1:5" x14ac:dyDescent="0.35">
      <c r="A139" t="s">
        <v>720</v>
      </c>
      <c r="B139" t="s">
        <v>721</v>
      </c>
      <c r="C139" t="s">
        <v>606</v>
      </c>
      <c r="D139" t="s">
        <v>341</v>
      </c>
      <c r="E139">
        <v>1</v>
      </c>
    </row>
    <row r="140" spans="1:5" x14ac:dyDescent="0.35">
      <c r="A140" t="s">
        <v>722</v>
      </c>
      <c r="B140" t="s">
        <v>723</v>
      </c>
      <c r="C140" t="s">
        <v>425</v>
      </c>
      <c r="D140" t="s">
        <v>724</v>
      </c>
      <c r="E140">
        <v>1</v>
      </c>
    </row>
    <row r="141" spans="1:5" x14ac:dyDescent="0.35">
      <c r="A141" t="s">
        <v>725</v>
      </c>
      <c r="B141" t="s">
        <v>726</v>
      </c>
      <c r="C141" t="s">
        <v>727</v>
      </c>
      <c r="D141" t="s">
        <v>123</v>
      </c>
      <c r="E141">
        <v>1</v>
      </c>
    </row>
    <row r="142" spans="1:5" x14ac:dyDescent="0.35">
      <c r="A142" t="s">
        <v>728</v>
      </c>
      <c r="B142" t="s">
        <v>729</v>
      </c>
      <c r="C142" t="s">
        <v>730</v>
      </c>
      <c r="D142" t="s">
        <v>626</v>
      </c>
      <c r="E142">
        <v>1</v>
      </c>
    </row>
    <row r="143" spans="1:5" x14ac:dyDescent="0.35">
      <c r="A143" t="s">
        <v>731</v>
      </c>
      <c r="B143" t="s">
        <v>732</v>
      </c>
      <c r="C143" t="s">
        <v>733</v>
      </c>
      <c r="D143" t="s">
        <v>362</v>
      </c>
      <c r="E143">
        <v>1</v>
      </c>
    </row>
    <row r="144" spans="1:5" x14ac:dyDescent="0.35">
      <c r="A144" t="s">
        <v>734</v>
      </c>
      <c r="B144" t="s">
        <v>735</v>
      </c>
      <c r="C144" t="s">
        <v>688</v>
      </c>
      <c r="D144" t="s">
        <v>541</v>
      </c>
      <c r="E144">
        <v>1</v>
      </c>
    </row>
    <row r="145" spans="1:5" x14ac:dyDescent="0.35">
      <c r="A145" t="s">
        <v>736</v>
      </c>
      <c r="B145" t="s">
        <v>737</v>
      </c>
      <c r="C145" t="s">
        <v>642</v>
      </c>
      <c r="D145" t="s">
        <v>362</v>
      </c>
      <c r="E145">
        <v>1</v>
      </c>
    </row>
    <row r="146" spans="1:5" x14ac:dyDescent="0.35">
      <c r="A146" t="s">
        <v>738</v>
      </c>
      <c r="B146" t="s">
        <v>739</v>
      </c>
      <c r="C146" t="s">
        <v>740</v>
      </c>
      <c r="D146" t="s">
        <v>741</v>
      </c>
      <c r="E146">
        <v>1</v>
      </c>
    </row>
    <row r="147" spans="1:5" x14ac:dyDescent="0.35">
      <c r="A147" t="s">
        <v>742</v>
      </c>
      <c r="B147" t="s">
        <v>743</v>
      </c>
      <c r="C147" t="s">
        <v>744</v>
      </c>
      <c r="D147" t="s">
        <v>520</v>
      </c>
      <c r="E147">
        <v>1</v>
      </c>
    </row>
    <row r="148" spans="1:5" x14ac:dyDescent="0.35">
      <c r="A148" t="s">
        <v>745</v>
      </c>
      <c r="B148" t="s">
        <v>746</v>
      </c>
      <c r="C148" t="s">
        <v>682</v>
      </c>
      <c r="D148" t="s">
        <v>362</v>
      </c>
      <c r="E148">
        <v>1</v>
      </c>
    </row>
    <row r="149" spans="1:5" x14ac:dyDescent="0.35">
      <c r="A149" t="s">
        <v>747</v>
      </c>
      <c r="B149" t="s">
        <v>748</v>
      </c>
      <c r="C149" t="s">
        <v>749</v>
      </c>
      <c r="D149" t="s">
        <v>72</v>
      </c>
      <c r="E149">
        <v>1</v>
      </c>
    </row>
    <row r="150" spans="1:5" x14ac:dyDescent="0.35">
      <c r="A150" t="s">
        <v>750</v>
      </c>
      <c r="B150" t="s">
        <v>751</v>
      </c>
      <c r="C150" t="s">
        <v>752</v>
      </c>
      <c r="D150" t="s">
        <v>366</v>
      </c>
      <c r="E150">
        <v>1</v>
      </c>
    </row>
    <row r="151" spans="1:5" x14ac:dyDescent="0.35">
      <c r="A151" t="s">
        <v>753</v>
      </c>
      <c r="B151" t="s">
        <v>754</v>
      </c>
      <c r="C151" t="s">
        <v>755</v>
      </c>
      <c r="D151" t="s">
        <v>158</v>
      </c>
      <c r="E151">
        <v>1</v>
      </c>
    </row>
    <row r="152" spans="1:5" x14ac:dyDescent="0.35">
      <c r="A152" t="s">
        <v>756</v>
      </c>
      <c r="B152" t="s">
        <v>757</v>
      </c>
      <c r="C152" t="s">
        <v>758</v>
      </c>
      <c r="D152" t="s">
        <v>123</v>
      </c>
      <c r="E152">
        <v>1</v>
      </c>
    </row>
    <row r="153" spans="1:5" x14ac:dyDescent="0.35">
      <c r="A153" t="s">
        <v>759</v>
      </c>
      <c r="B153" t="s">
        <v>760</v>
      </c>
      <c r="C153" t="s">
        <v>761</v>
      </c>
      <c r="D153" t="s">
        <v>103</v>
      </c>
      <c r="E153">
        <v>1</v>
      </c>
    </row>
    <row r="154" spans="1:5" x14ac:dyDescent="0.35">
      <c r="A154" t="s">
        <v>762</v>
      </c>
      <c r="B154" t="s">
        <v>763</v>
      </c>
      <c r="C154" t="s">
        <v>358</v>
      </c>
      <c r="D154" t="s">
        <v>349</v>
      </c>
      <c r="E154">
        <v>1</v>
      </c>
    </row>
    <row r="155" spans="1:5" x14ac:dyDescent="0.35">
      <c r="A155" t="s">
        <v>764</v>
      </c>
      <c r="B155" t="s">
        <v>765</v>
      </c>
      <c r="C155" t="s">
        <v>766</v>
      </c>
      <c r="D155" t="s">
        <v>429</v>
      </c>
      <c r="E155">
        <v>1</v>
      </c>
    </row>
    <row r="156" spans="1:5" x14ac:dyDescent="0.35">
      <c r="A156" t="s">
        <v>767</v>
      </c>
      <c r="B156" t="s">
        <v>768</v>
      </c>
      <c r="C156" t="s">
        <v>679</v>
      </c>
      <c r="D156" t="s">
        <v>72</v>
      </c>
      <c r="E156">
        <v>1</v>
      </c>
    </row>
    <row r="157" spans="1:5" x14ac:dyDescent="0.35">
      <c r="A157" t="s">
        <v>769</v>
      </c>
      <c r="B157" t="s">
        <v>770</v>
      </c>
      <c r="C157" t="s">
        <v>771</v>
      </c>
      <c r="D157" t="s">
        <v>366</v>
      </c>
      <c r="E157">
        <v>1</v>
      </c>
    </row>
    <row r="158" spans="1:5" x14ac:dyDescent="0.35">
      <c r="A158" t="s">
        <v>772</v>
      </c>
      <c r="B158" t="s">
        <v>773</v>
      </c>
      <c r="C158" t="s">
        <v>774</v>
      </c>
      <c r="D158" t="s">
        <v>366</v>
      </c>
      <c r="E158">
        <v>1</v>
      </c>
    </row>
    <row r="159" spans="1:5" x14ac:dyDescent="0.35">
      <c r="A159" t="s">
        <v>775</v>
      </c>
      <c r="B159" t="s">
        <v>776</v>
      </c>
      <c r="C159" t="s">
        <v>411</v>
      </c>
      <c r="D159" t="s">
        <v>345</v>
      </c>
      <c r="E159">
        <v>1</v>
      </c>
    </row>
    <row r="160" spans="1:5" x14ac:dyDescent="0.35">
      <c r="A160" t="s">
        <v>777</v>
      </c>
      <c r="B160" t="s">
        <v>778</v>
      </c>
      <c r="C160" t="s">
        <v>779</v>
      </c>
      <c r="D160" t="s">
        <v>211</v>
      </c>
      <c r="E160">
        <v>1</v>
      </c>
    </row>
    <row r="161" spans="1:5" x14ac:dyDescent="0.35">
      <c r="A161" t="s">
        <v>780</v>
      </c>
      <c r="B161" t="s">
        <v>781</v>
      </c>
      <c r="C161" t="s">
        <v>411</v>
      </c>
      <c r="D161" t="s">
        <v>345</v>
      </c>
      <c r="E161">
        <v>1</v>
      </c>
    </row>
    <row r="162" spans="1:5" x14ac:dyDescent="0.35">
      <c r="A162" t="s">
        <v>782</v>
      </c>
      <c r="B162" t="s">
        <v>783</v>
      </c>
      <c r="C162" t="s">
        <v>534</v>
      </c>
      <c r="D162" t="s">
        <v>429</v>
      </c>
      <c r="E162">
        <v>1</v>
      </c>
    </row>
    <row r="163" spans="1:5" x14ac:dyDescent="0.35">
      <c r="A163" t="s">
        <v>784</v>
      </c>
      <c r="B163" t="s">
        <v>785</v>
      </c>
      <c r="C163" t="s">
        <v>534</v>
      </c>
      <c r="D163" t="s">
        <v>429</v>
      </c>
      <c r="E163">
        <v>1</v>
      </c>
    </row>
    <row r="164" spans="1:5" x14ac:dyDescent="0.35">
      <c r="A164" t="s">
        <v>786</v>
      </c>
      <c r="B164" t="s">
        <v>787</v>
      </c>
      <c r="C164" t="s">
        <v>691</v>
      </c>
      <c r="D164" t="s">
        <v>429</v>
      </c>
      <c r="E164">
        <v>1</v>
      </c>
    </row>
    <row r="165" spans="1:5" x14ac:dyDescent="0.35">
      <c r="A165" t="s">
        <v>788</v>
      </c>
      <c r="B165" t="s">
        <v>789</v>
      </c>
      <c r="C165" t="s">
        <v>790</v>
      </c>
      <c r="D165" t="s">
        <v>52</v>
      </c>
      <c r="E165">
        <v>1</v>
      </c>
    </row>
    <row r="166" spans="1:5" x14ac:dyDescent="0.35">
      <c r="A166" t="s">
        <v>791</v>
      </c>
      <c r="B166" t="s">
        <v>792</v>
      </c>
      <c r="C166" t="s">
        <v>529</v>
      </c>
      <c r="D166" t="s">
        <v>362</v>
      </c>
      <c r="E166">
        <v>1</v>
      </c>
    </row>
    <row r="167" spans="1:5" x14ac:dyDescent="0.35">
      <c r="A167" t="s">
        <v>793</v>
      </c>
      <c r="B167" t="s">
        <v>794</v>
      </c>
      <c r="C167" t="s">
        <v>795</v>
      </c>
      <c r="D167" t="s">
        <v>362</v>
      </c>
      <c r="E167">
        <v>1</v>
      </c>
    </row>
    <row r="168" spans="1:5" x14ac:dyDescent="0.35">
      <c r="A168" t="s">
        <v>796</v>
      </c>
      <c r="B168" t="s">
        <v>797</v>
      </c>
      <c r="C168" t="s">
        <v>534</v>
      </c>
      <c r="D168" t="s">
        <v>429</v>
      </c>
      <c r="E168">
        <v>1</v>
      </c>
    </row>
    <row r="169" spans="1:5" x14ac:dyDescent="0.35">
      <c r="A169" t="s">
        <v>798</v>
      </c>
      <c r="B169" t="s">
        <v>799</v>
      </c>
      <c r="C169" t="s">
        <v>800</v>
      </c>
      <c r="D169" t="s">
        <v>429</v>
      </c>
      <c r="E169">
        <v>1</v>
      </c>
    </row>
    <row r="170" spans="1:5" x14ac:dyDescent="0.35">
      <c r="A170" t="s">
        <v>801</v>
      </c>
      <c r="B170" t="s">
        <v>802</v>
      </c>
      <c r="C170" t="s">
        <v>534</v>
      </c>
      <c r="D170" t="s">
        <v>429</v>
      </c>
      <c r="E170">
        <v>1</v>
      </c>
    </row>
    <row r="171" spans="1:5" x14ac:dyDescent="0.35">
      <c r="A171" t="s">
        <v>803</v>
      </c>
      <c r="B171" t="s">
        <v>804</v>
      </c>
      <c r="C171" t="s">
        <v>694</v>
      </c>
      <c r="D171" t="s">
        <v>349</v>
      </c>
      <c r="E171">
        <v>1</v>
      </c>
    </row>
    <row r="172" spans="1:5" x14ac:dyDescent="0.35">
      <c r="A172" t="s">
        <v>805</v>
      </c>
      <c r="B172" t="s">
        <v>806</v>
      </c>
      <c r="C172" t="s">
        <v>691</v>
      </c>
      <c r="D172" t="s">
        <v>429</v>
      </c>
      <c r="E172">
        <v>1</v>
      </c>
    </row>
    <row r="173" spans="1:5" x14ac:dyDescent="0.35">
      <c r="A173" t="s">
        <v>807</v>
      </c>
      <c r="B173" t="s">
        <v>808</v>
      </c>
      <c r="C173" t="s">
        <v>411</v>
      </c>
      <c r="D173" t="s">
        <v>345</v>
      </c>
      <c r="E173">
        <v>1</v>
      </c>
    </row>
    <row r="174" spans="1:5" x14ac:dyDescent="0.35">
      <c r="A174" t="s">
        <v>809</v>
      </c>
      <c r="B174" t="s">
        <v>810</v>
      </c>
      <c r="C174" t="s">
        <v>615</v>
      </c>
      <c r="D174" t="s">
        <v>541</v>
      </c>
      <c r="E174">
        <v>1</v>
      </c>
    </row>
    <row r="175" spans="1:5" x14ac:dyDescent="0.35">
      <c r="A175" t="s">
        <v>811</v>
      </c>
      <c r="B175" t="s">
        <v>812</v>
      </c>
      <c r="C175" t="s">
        <v>813</v>
      </c>
      <c r="D175" t="s">
        <v>341</v>
      </c>
      <c r="E175">
        <v>1</v>
      </c>
    </row>
    <row r="176" spans="1:5" x14ac:dyDescent="0.35">
      <c r="A176" t="s">
        <v>814</v>
      </c>
      <c r="B176" t="s">
        <v>815</v>
      </c>
      <c r="C176" t="s">
        <v>411</v>
      </c>
      <c r="D176" t="s">
        <v>345</v>
      </c>
      <c r="E176">
        <v>1</v>
      </c>
    </row>
    <row r="177" spans="1:5" x14ac:dyDescent="0.35">
      <c r="A177" t="s">
        <v>816</v>
      </c>
      <c r="B177" t="s">
        <v>817</v>
      </c>
      <c r="C177" t="s">
        <v>379</v>
      </c>
      <c r="D177" t="s">
        <v>349</v>
      </c>
      <c r="E177">
        <v>1</v>
      </c>
    </row>
    <row r="178" spans="1:5" x14ac:dyDescent="0.35">
      <c r="A178" t="s">
        <v>818</v>
      </c>
      <c r="B178" t="s">
        <v>819</v>
      </c>
      <c r="C178" t="s">
        <v>379</v>
      </c>
      <c r="D178" t="s">
        <v>349</v>
      </c>
      <c r="E178">
        <v>1</v>
      </c>
    </row>
    <row r="179" spans="1:5" x14ac:dyDescent="0.35">
      <c r="A179" t="s">
        <v>820</v>
      </c>
      <c r="B179" t="s">
        <v>821</v>
      </c>
      <c r="C179" t="s">
        <v>694</v>
      </c>
      <c r="D179" t="s">
        <v>349</v>
      </c>
      <c r="E179">
        <v>1</v>
      </c>
    </row>
    <row r="180" spans="1:5" x14ac:dyDescent="0.35">
      <c r="A180" t="s">
        <v>822</v>
      </c>
      <c r="B180" t="s">
        <v>823</v>
      </c>
      <c r="C180" t="s">
        <v>411</v>
      </c>
      <c r="D180" t="s">
        <v>345</v>
      </c>
      <c r="E180">
        <v>1</v>
      </c>
    </row>
    <row r="181" spans="1:5" x14ac:dyDescent="0.35">
      <c r="A181" t="s">
        <v>824</v>
      </c>
      <c r="B181" t="s">
        <v>825</v>
      </c>
      <c r="C181" t="s">
        <v>826</v>
      </c>
      <c r="D181" t="s">
        <v>520</v>
      </c>
      <c r="E181">
        <v>1</v>
      </c>
    </row>
    <row r="182" spans="1:5" x14ac:dyDescent="0.35">
      <c r="A182" t="s">
        <v>827</v>
      </c>
      <c r="B182" t="s">
        <v>828</v>
      </c>
      <c r="C182" t="s">
        <v>829</v>
      </c>
      <c r="D182" t="s">
        <v>211</v>
      </c>
      <c r="E182">
        <v>1</v>
      </c>
    </row>
    <row r="183" spans="1:5" x14ac:dyDescent="0.35">
      <c r="A183" t="s">
        <v>830</v>
      </c>
      <c r="B183" t="s">
        <v>831</v>
      </c>
      <c r="C183" t="s">
        <v>832</v>
      </c>
      <c r="D183" t="s">
        <v>158</v>
      </c>
      <c r="E183">
        <v>1</v>
      </c>
    </row>
    <row r="184" spans="1:5" x14ac:dyDescent="0.35">
      <c r="A184" t="s">
        <v>833</v>
      </c>
      <c r="B184" t="s">
        <v>834</v>
      </c>
      <c r="C184" t="s">
        <v>358</v>
      </c>
      <c r="D184" t="s">
        <v>349</v>
      </c>
      <c r="E184">
        <v>1</v>
      </c>
    </row>
    <row r="185" spans="1:5" x14ac:dyDescent="0.35">
      <c r="A185" t="s">
        <v>835</v>
      </c>
      <c r="B185" t="s">
        <v>836</v>
      </c>
      <c r="C185" t="s">
        <v>771</v>
      </c>
      <c r="D185" t="s">
        <v>366</v>
      </c>
      <c r="E185">
        <v>1</v>
      </c>
    </row>
    <row r="186" spans="1:5" x14ac:dyDescent="0.35">
      <c r="A186" t="s">
        <v>837</v>
      </c>
      <c r="B186" t="s">
        <v>838</v>
      </c>
      <c r="C186" t="s">
        <v>411</v>
      </c>
      <c r="D186" t="s">
        <v>345</v>
      </c>
      <c r="E186">
        <v>1</v>
      </c>
    </row>
    <row r="187" spans="1:5" x14ac:dyDescent="0.35">
      <c r="A187" t="s">
        <v>839</v>
      </c>
      <c r="B187" t="s">
        <v>840</v>
      </c>
      <c r="C187" t="s">
        <v>534</v>
      </c>
      <c r="D187" t="s">
        <v>429</v>
      </c>
      <c r="E187">
        <v>1</v>
      </c>
    </row>
    <row r="188" spans="1:5" x14ac:dyDescent="0.35">
      <c r="A188" t="s">
        <v>841</v>
      </c>
      <c r="B188" t="s">
        <v>842</v>
      </c>
      <c r="C188" t="s">
        <v>352</v>
      </c>
      <c r="D188" t="s">
        <v>158</v>
      </c>
      <c r="E188">
        <v>1</v>
      </c>
    </row>
    <row r="189" spans="1:5" x14ac:dyDescent="0.35">
      <c r="A189" t="s">
        <v>843</v>
      </c>
      <c r="B189" t="s">
        <v>844</v>
      </c>
      <c r="C189" t="s">
        <v>529</v>
      </c>
      <c r="D189" t="s">
        <v>362</v>
      </c>
      <c r="E189">
        <v>1</v>
      </c>
    </row>
    <row r="190" spans="1:5" x14ac:dyDescent="0.35">
      <c r="A190" t="s">
        <v>845</v>
      </c>
      <c r="B190" t="s">
        <v>846</v>
      </c>
      <c r="C190" t="s">
        <v>379</v>
      </c>
      <c r="D190" t="s">
        <v>349</v>
      </c>
      <c r="E190">
        <v>1</v>
      </c>
    </row>
    <row r="191" spans="1:5" x14ac:dyDescent="0.35">
      <c r="A191" t="s">
        <v>847</v>
      </c>
      <c r="B191" t="s">
        <v>848</v>
      </c>
      <c r="C191" t="s">
        <v>849</v>
      </c>
      <c r="D191" t="s">
        <v>52</v>
      </c>
      <c r="E191">
        <v>1</v>
      </c>
    </row>
    <row r="192" spans="1:5" x14ac:dyDescent="0.35">
      <c r="A192" t="s">
        <v>850</v>
      </c>
      <c r="B192" t="s">
        <v>851</v>
      </c>
      <c r="C192" t="s">
        <v>358</v>
      </c>
      <c r="D192" t="s">
        <v>349</v>
      </c>
      <c r="E192">
        <v>1</v>
      </c>
    </row>
    <row r="193" spans="1:5" x14ac:dyDescent="0.35">
      <c r="A193" t="s">
        <v>852</v>
      </c>
      <c r="B193" t="s">
        <v>853</v>
      </c>
      <c r="C193" t="s">
        <v>854</v>
      </c>
      <c r="D193" t="s">
        <v>366</v>
      </c>
      <c r="E193">
        <v>1</v>
      </c>
    </row>
    <row r="194" spans="1:5" x14ac:dyDescent="0.35">
      <c r="A194" t="s">
        <v>855</v>
      </c>
      <c r="B194" t="s">
        <v>856</v>
      </c>
      <c r="C194" t="s">
        <v>790</v>
      </c>
      <c r="D194" t="s">
        <v>52</v>
      </c>
      <c r="E194">
        <v>1</v>
      </c>
    </row>
    <row r="195" spans="1:5" x14ac:dyDescent="0.35">
      <c r="A195" t="s">
        <v>857</v>
      </c>
      <c r="B195" t="s">
        <v>858</v>
      </c>
      <c r="C195" t="s">
        <v>859</v>
      </c>
      <c r="D195" t="s">
        <v>111</v>
      </c>
      <c r="E195">
        <v>1</v>
      </c>
    </row>
    <row r="196" spans="1:5" x14ac:dyDescent="0.35">
      <c r="A196" t="s">
        <v>860</v>
      </c>
      <c r="B196" t="s">
        <v>861</v>
      </c>
      <c r="C196" t="s">
        <v>618</v>
      </c>
      <c r="D196" t="s">
        <v>158</v>
      </c>
      <c r="E196">
        <v>1</v>
      </c>
    </row>
    <row r="197" spans="1:5" x14ac:dyDescent="0.35">
      <c r="A197" t="s">
        <v>862</v>
      </c>
      <c r="B197" t="s">
        <v>863</v>
      </c>
      <c r="C197" t="s">
        <v>358</v>
      </c>
      <c r="D197" t="s">
        <v>349</v>
      </c>
      <c r="E197">
        <v>1</v>
      </c>
    </row>
    <row r="198" spans="1:5" x14ac:dyDescent="0.35">
      <c r="A198" t="s">
        <v>864</v>
      </c>
      <c r="B198" t="s">
        <v>865</v>
      </c>
      <c r="C198" t="s">
        <v>866</v>
      </c>
      <c r="D198" t="s">
        <v>52</v>
      </c>
      <c r="E198">
        <v>1</v>
      </c>
    </row>
    <row r="199" spans="1:5" x14ac:dyDescent="0.35">
      <c r="A199" t="s">
        <v>867</v>
      </c>
      <c r="B199" t="s">
        <v>868</v>
      </c>
      <c r="C199" t="s">
        <v>869</v>
      </c>
      <c r="D199" t="s">
        <v>541</v>
      </c>
      <c r="E199">
        <v>1</v>
      </c>
    </row>
    <row r="200" spans="1:5" x14ac:dyDescent="0.35">
      <c r="A200" t="s">
        <v>870</v>
      </c>
      <c r="B200" t="s">
        <v>871</v>
      </c>
      <c r="C200" t="s">
        <v>872</v>
      </c>
      <c r="D200" t="s">
        <v>520</v>
      </c>
      <c r="E200">
        <v>1</v>
      </c>
    </row>
    <row r="201" spans="1:5" x14ac:dyDescent="0.35">
      <c r="A201" t="s">
        <v>873</v>
      </c>
      <c r="B201" t="s">
        <v>874</v>
      </c>
      <c r="C201" t="s">
        <v>875</v>
      </c>
      <c r="D201" t="s">
        <v>668</v>
      </c>
      <c r="E201">
        <v>1</v>
      </c>
    </row>
    <row r="202" spans="1:5" x14ac:dyDescent="0.35">
      <c r="A202" t="s">
        <v>876</v>
      </c>
      <c r="B202" t="s">
        <v>877</v>
      </c>
      <c r="C202" t="s">
        <v>878</v>
      </c>
      <c r="D202" t="s">
        <v>408</v>
      </c>
      <c r="E202">
        <v>1</v>
      </c>
    </row>
    <row r="203" spans="1:5" x14ac:dyDescent="0.35">
      <c r="A203" t="s">
        <v>879</v>
      </c>
      <c r="B203" t="s">
        <v>880</v>
      </c>
      <c r="C203" t="s">
        <v>615</v>
      </c>
      <c r="D203" t="s">
        <v>541</v>
      </c>
      <c r="E203">
        <v>1</v>
      </c>
    </row>
    <row r="204" spans="1:5" x14ac:dyDescent="0.35">
      <c r="A204" t="s">
        <v>881</v>
      </c>
      <c r="B204" t="s">
        <v>882</v>
      </c>
      <c r="C204" t="s">
        <v>878</v>
      </c>
      <c r="D204" t="s">
        <v>408</v>
      </c>
      <c r="E204">
        <v>1</v>
      </c>
    </row>
    <row r="205" spans="1:5" x14ac:dyDescent="0.35">
      <c r="A205" t="s">
        <v>883</v>
      </c>
      <c r="B205" t="s">
        <v>884</v>
      </c>
      <c r="C205" t="s">
        <v>358</v>
      </c>
      <c r="D205" t="s">
        <v>349</v>
      </c>
      <c r="E205">
        <v>1</v>
      </c>
    </row>
    <row r="206" spans="1:5" x14ac:dyDescent="0.35">
      <c r="A206" t="s">
        <v>885</v>
      </c>
      <c r="B206" t="s">
        <v>886</v>
      </c>
      <c r="C206" t="s">
        <v>352</v>
      </c>
      <c r="D206" t="s">
        <v>429</v>
      </c>
      <c r="E206">
        <v>1</v>
      </c>
    </row>
    <row r="207" spans="1:5" x14ac:dyDescent="0.35">
      <c r="A207" t="s">
        <v>887</v>
      </c>
      <c r="B207" t="s">
        <v>888</v>
      </c>
      <c r="C207" t="s">
        <v>889</v>
      </c>
      <c r="D207" t="s">
        <v>349</v>
      </c>
      <c r="E207">
        <v>1</v>
      </c>
    </row>
    <row r="208" spans="1:5" x14ac:dyDescent="0.35">
      <c r="A208" t="s">
        <v>890</v>
      </c>
      <c r="B208" t="s">
        <v>891</v>
      </c>
      <c r="C208" t="s">
        <v>621</v>
      </c>
      <c r="D208" t="s">
        <v>622</v>
      </c>
      <c r="E208">
        <v>1</v>
      </c>
    </row>
    <row r="209" spans="1:5" x14ac:dyDescent="0.35">
      <c r="A209" t="s">
        <v>892</v>
      </c>
      <c r="B209" t="s">
        <v>893</v>
      </c>
      <c r="C209" t="s">
        <v>894</v>
      </c>
      <c r="D209" t="s">
        <v>429</v>
      </c>
      <c r="E209">
        <v>1</v>
      </c>
    </row>
    <row r="210" spans="1:5" x14ac:dyDescent="0.35">
      <c r="A210" t="s">
        <v>895</v>
      </c>
      <c r="B210" t="s">
        <v>896</v>
      </c>
      <c r="C210" t="s">
        <v>358</v>
      </c>
      <c r="D210" t="s">
        <v>349</v>
      </c>
      <c r="E210">
        <v>1</v>
      </c>
    </row>
    <row r="211" spans="1:5" x14ac:dyDescent="0.35">
      <c r="A211" t="s">
        <v>897</v>
      </c>
      <c r="B211" t="s">
        <v>898</v>
      </c>
      <c r="C211" t="s">
        <v>534</v>
      </c>
      <c r="D211" t="s">
        <v>429</v>
      </c>
      <c r="E211">
        <v>1</v>
      </c>
    </row>
    <row r="212" spans="1:5" x14ac:dyDescent="0.35">
      <c r="A212" t="s">
        <v>899</v>
      </c>
      <c r="B212" t="s">
        <v>900</v>
      </c>
      <c r="C212" t="s">
        <v>514</v>
      </c>
      <c r="D212" t="s">
        <v>345</v>
      </c>
      <c r="E212">
        <v>1</v>
      </c>
    </row>
    <row r="213" spans="1:5" x14ac:dyDescent="0.35">
      <c r="A213" t="s">
        <v>901</v>
      </c>
      <c r="B213" t="s">
        <v>902</v>
      </c>
      <c r="C213" t="s">
        <v>544</v>
      </c>
      <c r="D213" t="s">
        <v>541</v>
      </c>
      <c r="E213">
        <v>1</v>
      </c>
    </row>
    <row r="214" spans="1:5" x14ac:dyDescent="0.35">
      <c r="A214" t="s">
        <v>903</v>
      </c>
      <c r="B214" t="s">
        <v>904</v>
      </c>
      <c r="C214" t="s">
        <v>905</v>
      </c>
      <c r="D214" t="s">
        <v>541</v>
      </c>
      <c r="E214">
        <v>1</v>
      </c>
    </row>
    <row r="215" spans="1:5" x14ac:dyDescent="0.35">
      <c r="A215" t="s">
        <v>906</v>
      </c>
      <c r="B215" t="s">
        <v>907</v>
      </c>
      <c r="C215" t="s">
        <v>908</v>
      </c>
      <c r="D215" t="s">
        <v>237</v>
      </c>
      <c r="E215">
        <v>1</v>
      </c>
    </row>
    <row r="216" spans="1:5" x14ac:dyDescent="0.35">
      <c r="A216" t="s">
        <v>909</v>
      </c>
      <c r="B216" t="s">
        <v>910</v>
      </c>
      <c r="C216" t="s">
        <v>911</v>
      </c>
      <c r="D216" t="s">
        <v>912</v>
      </c>
      <c r="E216">
        <v>1</v>
      </c>
    </row>
    <row r="217" spans="1:5" x14ac:dyDescent="0.35">
      <c r="A217" t="s">
        <v>913</v>
      </c>
      <c r="B217" t="s">
        <v>914</v>
      </c>
      <c r="C217" t="s">
        <v>471</v>
      </c>
      <c r="D217" t="s">
        <v>123</v>
      </c>
      <c r="E217">
        <v>1</v>
      </c>
    </row>
    <row r="218" spans="1:5" x14ac:dyDescent="0.35">
      <c r="A218" t="s">
        <v>915</v>
      </c>
      <c r="B218" t="s">
        <v>916</v>
      </c>
      <c r="C218" t="s">
        <v>854</v>
      </c>
      <c r="D218" t="s">
        <v>366</v>
      </c>
      <c r="E218">
        <v>1</v>
      </c>
    </row>
    <row r="219" spans="1:5" x14ac:dyDescent="0.35">
      <c r="A219" t="s">
        <v>917</v>
      </c>
      <c r="B219" t="s">
        <v>918</v>
      </c>
      <c r="C219" t="s">
        <v>534</v>
      </c>
      <c r="D219" t="s">
        <v>429</v>
      </c>
      <c r="E219">
        <v>1</v>
      </c>
    </row>
    <row r="220" spans="1:5" x14ac:dyDescent="0.35">
      <c r="A220" t="s">
        <v>919</v>
      </c>
      <c r="B220" t="s">
        <v>920</v>
      </c>
      <c r="C220" t="s">
        <v>921</v>
      </c>
      <c r="D220" t="s">
        <v>366</v>
      </c>
      <c r="E220">
        <v>1</v>
      </c>
    </row>
    <row r="221" spans="1:5" x14ac:dyDescent="0.35">
      <c r="A221" t="s">
        <v>922</v>
      </c>
      <c r="B221" t="s">
        <v>923</v>
      </c>
      <c r="C221" t="s">
        <v>358</v>
      </c>
      <c r="D221" t="s">
        <v>349</v>
      </c>
      <c r="E221">
        <v>1</v>
      </c>
    </row>
    <row r="222" spans="1:5" x14ac:dyDescent="0.35">
      <c r="A222" t="s">
        <v>924</v>
      </c>
      <c r="B222" t="s">
        <v>925</v>
      </c>
      <c r="C222" t="s">
        <v>514</v>
      </c>
      <c r="D222" t="s">
        <v>345</v>
      </c>
      <c r="E222">
        <v>1</v>
      </c>
    </row>
    <row r="223" spans="1:5" x14ac:dyDescent="0.35">
      <c r="A223" t="s">
        <v>926</v>
      </c>
      <c r="B223" t="s">
        <v>927</v>
      </c>
      <c r="C223" t="s">
        <v>889</v>
      </c>
      <c r="D223" t="s">
        <v>349</v>
      </c>
      <c r="E223">
        <v>1</v>
      </c>
    </row>
    <row r="224" spans="1:5" x14ac:dyDescent="0.35">
      <c r="A224" t="s">
        <v>928</v>
      </c>
      <c r="B224" t="s">
        <v>929</v>
      </c>
      <c r="C224" t="s">
        <v>930</v>
      </c>
      <c r="D224" t="s">
        <v>376</v>
      </c>
      <c r="E224">
        <v>1</v>
      </c>
    </row>
    <row r="225" spans="1:5" x14ac:dyDescent="0.35">
      <c r="A225" t="s">
        <v>931</v>
      </c>
      <c r="B225" t="s">
        <v>932</v>
      </c>
      <c r="C225" t="s">
        <v>534</v>
      </c>
      <c r="D225" t="s">
        <v>429</v>
      </c>
      <c r="E225">
        <v>1</v>
      </c>
    </row>
    <row r="226" spans="1:5" x14ac:dyDescent="0.35">
      <c r="A226" t="s">
        <v>933</v>
      </c>
      <c r="B226" t="s">
        <v>934</v>
      </c>
      <c r="C226" t="s">
        <v>352</v>
      </c>
      <c r="D226" t="s">
        <v>429</v>
      </c>
      <c r="E226">
        <v>1</v>
      </c>
    </row>
    <row r="227" spans="1:5" x14ac:dyDescent="0.35">
      <c r="A227" t="s">
        <v>935</v>
      </c>
      <c r="B227" t="s">
        <v>936</v>
      </c>
      <c r="C227" t="s">
        <v>937</v>
      </c>
      <c r="D227" t="s">
        <v>349</v>
      </c>
      <c r="E227">
        <v>1</v>
      </c>
    </row>
    <row r="228" spans="1:5" x14ac:dyDescent="0.35">
      <c r="A228" t="s">
        <v>938</v>
      </c>
      <c r="B228" t="s">
        <v>939</v>
      </c>
      <c r="C228" t="s">
        <v>940</v>
      </c>
      <c r="D228" t="s">
        <v>520</v>
      </c>
      <c r="E228">
        <v>1</v>
      </c>
    </row>
    <row r="229" spans="1:5" x14ac:dyDescent="0.35">
      <c r="A229" t="s">
        <v>941</v>
      </c>
      <c r="B229" t="s">
        <v>942</v>
      </c>
      <c r="C229" t="s">
        <v>755</v>
      </c>
      <c r="D229" t="s">
        <v>158</v>
      </c>
      <c r="E229">
        <v>1</v>
      </c>
    </row>
    <row r="230" spans="1:5" x14ac:dyDescent="0.35">
      <c r="A230" t="s">
        <v>943</v>
      </c>
      <c r="B230" t="s">
        <v>944</v>
      </c>
      <c r="C230" t="s">
        <v>679</v>
      </c>
      <c r="D230" t="s">
        <v>72</v>
      </c>
      <c r="E230">
        <v>1</v>
      </c>
    </row>
    <row r="231" spans="1:5" x14ac:dyDescent="0.35">
      <c r="A231" t="s">
        <v>945</v>
      </c>
      <c r="B231" t="s">
        <v>946</v>
      </c>
      <c r="C231" t="s">
        <v>947</v>
      </c>
      <c r="D231" t="s">
        <v>142</v>
      </c>
      <c r="E231">
        <v>1</v>
      </c>
    </row>
    <row r="232" spans="1:5" x14ac:dyDescent="0.35">
      <c r="A232" t="s">
        <v>948</v>
      </c>
      <c r="B232" t="s">
        <v>949</v>
      </c>
      <c r="C232" t="s">
        <v>950</v>
      </c>
      <c r="D232" t="s">
        <v>211</v>
      </c>
      <c r="E232">
        <v>1</v>
      </c>
    </row>
    <row r="233" spans="1:5" x14ac:dyDescent="0.35">
      <c r="A233" t="s">
        <v>951</v>
      </c>
      <c r="B233" t="s">
        <v>952</v>
      </c>
      <c r="C233" t="s">
        <v>752</v>
      </c>
      <c r="D233" t="s">
        <v>366</v>
      </c>
      <c r="E233">
        <v>1</v>
      </c>
    </row>
    <row r="234" spans="1:5" x14ac:dyDescent="0.35">
      <c r="A234" t="s">
        <v>953</v>
      </c>
      <c r="B234" t="s">
        <v>954</v>
      </c>
      <c r="C234" t="s">
        <v>955</v>
      </c>
      <c r="D234" t="s">
        <v>142</v>
      </c>
      <c r="E234">
        <v>1</v>
      </c>
    </row>
    <row r="235" spans="1:5" x14ac:dyDescent="0.35">
      <c r="A235" t="s">
        <v>956</v>
      </c>
      <c r="B235" t="s">
        <v>957</v>
      </c>
      <c r="C235" t="s">
        <v>958</v>
      </c>
      <c r="D235" t="s">
        <v>52</v>
      </c>
      <c r="E235">
        <v>1</v>
      </c>
    </row>
    <row r="236" spans="1:5" x14ac:dyDescent="0.35">
      <c r="A236" t="s">
        <v>959</v>
      </c>
      <c r="B236" t="s">
        <v>960</v>
      </c>
      <c r="C236" t="s">
        <v>961</v>
      </c>
      <c r="D236" t="s">
        <v>220</v>
      </c>
      <c r="E236">
        <v>1</v>
      </c>
    </row>
    <row r="237" spans="1:5" x14ac:dyDescent="0.35">
      <c r="A237" t="s">
        <v>962</v>
      </c>
      <c r="B237" t="s">
        <v>963</v>
      </c>
      <c r="C237" t="s">
        <v>774</v>
      </c>
      <c r="D237" t="s">
        <v>366</v>
      </c>
      <c r="E237">
        <v>1</v>
      </c>
    </row>
    <row r="238" spans="1:5" x14ac:dyDescent="0.35">
      <c r="A238" t="s">
        <v>964</v>
      </c>
      <c r="B238" t="s">
        <v>965</v>
      </c>
      <c r="C238" t="s">
        <v>774</v>
      </c>
      <c r="D238" t="s">
        <v>366</v>
      </c>
      <c r="E238">
        <v>1</v>
      </c>
    </row>
    <row r="239" spans="1:5" x14ac:dyDescent="0.35">
      <c r="A239" t="s">
        <v>966</v>
      </c>
      <c r="B239" t="s">
        <v>967</v>
      </c>
      <c r="C239" t="s">
        <v>968</v>
      </c>
      <c r="D239" t="s">
        <v>123</v>
      </c>
      <c r="E239">
        <v>1</v>
      </c>
    </row>
    <row r="240" spans="1:5" x14ac:dyDescent="0.35">
      <c r="A240" t="s">
        <v>969</v>
      </c>
      <c r="B240" t="s">
        <v>970</v>
      </c>
      <c r="C240" t="s">
        <v>971</v>
      </c>
      <c r="D240" t="s">
        <v>52</v>
      </c>
      <c r="E240">
        <v>1</v>
      </c>
    </row>
    <row r="241" spans="1:5" x14ac:dyDescent="0.35">
      <c r="A241" t="s">
        <v>972</v>
      </c>
      <c r="B241" t="s">
        <v>973</v>
      </c>
      <c r="C241" t="s">
        <v>752</v>
      </c>
      <c r="D241" t="s">
        <v>366</v>
      </c>
      <c r="E241">
        <v>1</v>
      </c>
    </row>
    <row r="242" spans="1:5" x14ac:dyDescent="0.35">
      <c r="A242" t="s">
        <v>974</v>
      </c>
      <c r="B242" t="s">
        <v>975</v>
      </c>
      <c r="C242" t="s">
        <v>411</v>
      </c>
      <c r="D242" t="s">
        <v>345</v>
      </c>
      <c r="E242">
        <v>1</v>
      </c>
    </row>
    <row r="243" spans="1:5" x14ac:dyDescent="0.35">
      <c r="A243" t="s">
        <v>976</v>
      </c>
      <c r="B243" t="s">
        <v>977</v>
      </c>
      <c r="C243" t="s">
        <v>514</v>
      </c>
      <c r="D243" t="s">
        <v>345</v>
      </c>
      <c r="E243">
        <v>1</v>
      </c>
    </row>
    <row r="244" spans="1:5" x14ac:dyDescent="0.35">
      <c r="A244" t="s">
        <v>978</v>
      </c>
      <c r="B244" t="s">
        <v>979</v>
      </c>
      <c r="C244" t="s">
        <v>358</v>
      </c>
      <c r="D244" t="s">
        <v>349</v>
      </c>
      <c r="E244">
        <v>1</v>
      </c>
    </row>
    <row r="245" spans="1:5" x14ac:dyDescent="0.35">
      <c r="A245" t="s">
        <v>980</v>
      </c>
      <c r="B245" t="s">
        <v>981</v>
      </c>
      <c r="C245" t="s">
        <v>358</v>
      </c>
      <c r="D245" t="s">
        <v>349</v>
      </c>
      <c r="E245">
        <v>1</v>
      </c>
    </row>
    <row r="246" spans="1:5" x14ac:dyDescent="0.35">
      <c r="A246" t="s">
        <v>982</v>
      </c>
      <c r="B246" t="s">
        <v>983</v>
      </c>
      <c r="C246" t="s">
        <v>984</v>
      </c>
      <c r="D246" t="s">
        <v>520</v>
      </c>
      <c r="E246">
        <v>1</v>
      </c>
    </row>
    <row r="247" spans="1:5" x14ac:dyDescent="0.35">
      <c r="A247" t="s">
        <v>985</v>
      </c>
      <c r="B247" t="s">
        <v>986</v>
      </c>
      <c r="C247" t="s">
        <v>514</v>
      </c>
      <c r="D247" t="s">
        <v>345</v>
      </c>
      <c r="E247">
        <v>1</v>
      </c>
    </row>
    <row r="248" spans="1:5" x14ac:dyDescent="0.35">
      <c r="A248" t="s">
        <v>987</v>
      </c>
      <c r="B248" t="s">
        <v>988</v>
      </c>
      <c r="C248" t="s">
        <v>425</v>
      </c>
      <c r="D248" t="s">
        <v>349</v>
      </c>
      <c r="E248">
        <v>1</v>
      </c>
    </row>
    <row r="249" spans="1:5" x14ac:dyDescent="0.35">
      <c r="A249" t="s">
        <v>989</v>
      </c>
      <c r="B249" t="s">
        <v>990</v>
      </c>
      <c r="C249" t="s">
        <v>534</v>
      </c>
      <c r="D249" t="s">
        <v>429</v>
      </c>
      <c r="E249">
        <v>1</v>
      </c>
    </row>
    <row r="250" spans="1:5" x14ac:dyDescent="0.35">
      <c r="A250" t="s">
        <v>991</v>
      </c>
      <c r="B250" t="s">
        <v>992</v>
      </c>
      <c r="C250" t="s">
        <v>425</v>
      </c>
      <c r="D250" t="s">
        <v>349</v>
      </c>
      <c r="E250">
        <v>1</v>
      </c>
    </row>
    <row r="251" spans="1:5" x14ac:dyDescent="0.35">
      <c r="A251" t="s">
        <v>993</v>
      </c>
      <c r="B251" t="s">
        <v>994</v>
      </c>
      <c r="C251" t="s">
        <v>601</v>
      </c>
      <c r="D251" t="s">
        <v>429</v>
      </c>
      <c r="E251">
        <v>1</v>
      </c>
    </row>
    <row r="252" spans="1:5" x14ac:dyDescent="0.35">
      <c r="A252" t="s">
        <v>995</v>
      </c>
      <c r="B252" t="s">
        <v>996</v>
      </c>
      <c r="C252" t="s">
        <v>425</v>
      </c>
      <c r="D252" t="s">
        <v>349</v>
      </c>
      <c r="E252">
        <v>1</v>
      </c>
    </row>
    <row r="253" spans="1:5" x14ac:dyDescent="0.35">
      <c r="A253" t="s">
        <v>997</v>
      </c>
      <c r="B253" t="s">
        <v>998</v>
      </c>
      <c r="C253" t="s">
        <v>601</v>
      </c>
      <c r="D253" t="s">
        <v>429</v>
      </c>
      <c r="E253">
        <v>1</v>
      </c>
    </row>
    <row r="254" spans="1:5" x14ac:dyDescent="0.35">
      <c r="A254" t="s">
        <v>999</v>
      </c>
      <c r="B254" t="s">
        <v>1000</v>
      </c>
      <c r="C254" t="s">
        <v>529</v>
      </c>
      <c r="D254" t="s">
        <v>362</v>
      </c>
      <c r="E254">
        <v>1</v>
      </c>
    </row>
    <row r="255" spans="1:5" x14ac:dyDescent="0.35">
      <c r="A255" t="s">
        <v>1001</v>
      </c>
      <c r="B255" t="s">
        <v>1002</v>
      </c>
      <c r="C255" t="s">
        <v>691</v>
      </c>
      <c r="D255" t="s">
        <v>429</v>
      </c>
      <c r="E255">
        <v>1</v>
      </c>
    </row>
    <row r="256" spans="1:5" x14ac:dyDescent="0.35">
      <c r="A256" t="s">
        <v>1003</v>
      </c>
      <c r="B256" t="s">
        <v>1004</v>
      </c>
      <c r="C256" t="s">
        <v>425</v>
      </c>
      <c r="D256" t="s">
        <v>349</v>
      </c>
      <c r="E256">
        <v>1</v>
      </c>
    </row>
    <row r="257" spans="1:5" x14ac:dyDescent="0.35">
      <c r="A257" t="s">
        <v>1005</v>
      </c>
      <c r="B257" t="s">
        <v>1006</v>
      </c>
      <c r="C257" t="s">
        <v>1007</v>
      </c>
      <c r="D257" t="s">
        <v>429</v>
      </c>
      <c r="E257">
        <v>1</v>
      </c>
    </row>
    <row r="258" spans="1:5" x14ac:dyDescent="0.35">
      <c r="A258" t="s">
        <v>1008</v>
      </c>
      <c r="B258" t="s">
        <v>1009</v>
      </c>
      <c r="C258" t="s">
        <v>1010</v>
      </c>
      <c r="D258" t="s">
        <v>72</v>
      </c>
      <c r="E258">
        <v>1</v>
      </c>
    </row>
    <row r="259" spans="1:5" x14ac:dyDescent="0.35">
      <c r="A259" t="s">
        <v>1011</v>
      </c>
      <c r="B259" t="s">
        <v>1012</v>
      </c>
      <c r="C259" t="s">
        <v>1013</v>
      </c>
      <c r="D259" t="s">
        <v>556</v>
      </c>
      <c r="E259">
        <v>2</v>
      </c>
    </row>
    <row r="260" spans="1:5" x14ac:dyDescent="0.35">
      <c r="A260" t="s">
        <v>1014</v>
      </c>
      <c r="B260" t="s">
        <v>1015</v>
      </c>
      <c r="C260" t="s">
        <v>1016</v>
      </c>
      <c r="D260" t="s">
        <v>52</v>
      </c>
      <c r="E260">
        <v>1</v>
      </c>
    </row>
    <row r="261" spans="1:5" x14ac:dyDescent="0.35">
      <c r="A261" t="s">
        <v>1017</v>
      </c>
      <c r="B261" t="s">
        <v>1018</v>
      </c>
      <c r="C261" t="s">
        <v>471</v>
      </c>
      <c r="D261" t="s">
        <v>123</v>
      </c>
      <c r="E261">
        <v>1</v>
      </c>
    </row>
    <row r="262" spans="1:5" x14ac:dyDescent="0.35">
      <c r="A262" t="s">
        <v>1019</v>
      </c>
      <c r="B262" t="s">
        <v>1020</v>
      </c>
      <c r="C262" t="s">
        <v>1021</v>
      </c>
      <c r="D262" t="s">
        <v>103</v>
      </c>
      <c r="E262">
        <v>1</v>
      </c>
    </row>
    <row r="263" spans="1:5" x14ac:dyDescent="0.35">
      <c r="A263" t="s">
        <v>1022</v>
      </c>
      <c r="B263" t="s">
        <v>1023</v>
      </c>
      <c r="C263" t="s">
        <v>1024</v>
      </c>
      <c r="D263" t="s">
        <v>376</v>
      </c>
      <c r="E263">
        <v>1</v>
      </c>
    </row>
    <row r="264" spans="1:5" x14ac:dyDescent="0.35">
      <c r="A264" t="s">
        <v>1025</v>
      </c>
      <c r="B264" t="s">
        <v>1026</v>
      </c>
      <c r="C264" t="s">
        <v>625</v>
      </c>
      <c r="D264" t="s">
        <v>626</v>
      </c>
      <c r="E264">
        <v>1</v>
      </c>
    </row>
    <row r="265" spans="1:5" x14ac:dyDescent="0.35">
      <c r="A265" t="s">
        <v>1027</v>
      </c>
      <c r="B265" t="s">
        <v>1028</v>
      </c>
      <c r="C265" t="s">
        <v>921</v>
      </c>
      <c r="D265" t="s">
        <v>345</v>
      </c>
      <c r="E265">
        <v>1</v>
      </c>
    </row>
    <row r="266" spans="1:5" x14ac:dyDescent="0.35">
      <c r="A266" t="s">
        <v>1029</v>
      </c>
      <c r="B266" t="s">
        <v>1030</v>
      </c>
      <c r="C266" t="s">
        <v>625</v>
      </c>
      <c r="D266" t="s">
        <v>489</v>
      </c>
      <c r="E266">
        <v>2</v>
      </c>
    </row>
    <row r="267" spans="1:5" x14ac:dyDescent="0.35">
      <c r="A267" t="s">
        <v>1031</v>
      </c>
      <c r="B267" t="s">
        <v>1032</v>
      </c>
      <c r="C267" t="s">
        <v>1033</v>
      </c>
      <c r="D267" t="s">
        <v>96</v>
      </c>
      <c r="E267">
        <v>1</v>
      </c>
    </row>
    <row r="268" spans="1:5" x14ac:dyDescent="0.35">
      <c r="A268" t="s">
        <v>1034</v>
      </c>
      <c r="B268" t="s">
        <v>1035</v>
      </c>
      <c r="C268" t="s">
        <v>411</v>
      </c>
      <c r="D268" t="s">
        <v>345</v>
      </c>
      <c r="E268">
        <v>1</v>
      </c>
    </row>
    <row r="269" spans="1:5" x14ac:dyDescent="0.35">
      <c r="A269" t="s">
        <v>1036</v>
      </c>
      <c r="B269" t="s">
        <v>1037</v>
      </c>
      <c r="C269" t="s">
        <v>1038</v>
      </c>
      <c r="D269" t="s">
        <v>211</v>
      </c>
      <c r="E269">
        <v>1</v>
      </c>
    </row>
    <row r="270" spans="1:5" x14ac:dyDescent="0.35">
      <c r="A270" t="s">
        <v>1039</v>
      </c>
      <c r="B270" t="s">
        <v>1040</v>
      </c>
      <c r="C270" t="s">
        <v>1041</v>
      </c>
      <c r="D270" t="s">
        <v>96</v>
      </c>
      <c r="E270">
        <v>1</v>
      </c>
    </row>
    <row r="271" spans="1:5" x14ac:dyDescent="0.35">
      <c r="A271" t="s">
        <v>1042</v>
      </c>
      <c r="B271" t="s">
        <v>1043</v>
      </c>
      <c r="C271" t="s">
        <v>1044</v>
      </c>
      <c r="D271" t="s">
        <v>345</v>
      </c>
      <c r="E271">
        <v>1</v>
      </c>
    </row>
    <row r="272" spans="1:5" x14ac:dyDescent="0.35">
      <c r="A272" t="s">
        <v>1045</v>
      </c>
      <c r="B272" t="s">
        <v>1046</v>
      </c>
      <c r="C272" t="s">
        <v>774</v>
      </c>
      <c r="D272" t="s">
        <v>366</v>
      </c>
      <c r="E272">
        <v>1</v>
      </c>
    </row>
    <row r="273" spans="1:5" x14ac:dyDescent="0.35">
      <c r="A273" t="s">
        <v>1047</v>
      </c>
      <c r="B273" t="s">
        <v>1048</v>
      </c>
      <c r="C273" t="s">
        <v>911</v>
      </c>
      <c r="D273" t="s">
        <v>912</v>
      </c>
      <c r="E273">
        <v>1</v>
      </c>
    </row>
    <row r="274" spans="1:5" x14ac:dyDescent="0.35">
      <c r="A274" t="s">
        <v>1049</v>
      </c>
      <c r="B274" t="s">
        <v>1050</v>
      </c>
      <c r="C274" t="s">
        <v>621</v>
      </c>
      <c r="D274" t="s">
        <v>622</v>
      </c>
      <c r="E274">
        <v>2</v>
      </c>
    </row>
    <row r="275" spans="1:5" x14ac:dyDescent="0.35">
      <c r="A275" t="s">
        <v>1051</v>
      </c>
      <c r="B275" t="s">
        <v>1052</v>
      </c>
      <c r="C275" t="s">
        <v>621</v>
      </c>
      <c r="D275" t="s">
        <v>622</v>
      </c>
      <c r="E275">
        <v>2</v>
      </c>
    </row>
    <row r="276" spans="1:5" x14ac:dyDescent="0.35">
      <c r="A276" t="s">
        <v>1053</v>
      </c>
      <c r="B276" t="s">
        <v>1054</v>
      </c>
      <c r="C276" t="s">
        <v>534</v>
      </c>
      <c r="D276" t="s">
        <v>429</v>
      </c>
      <c r="E276">
        <v>1</v>
      </c>
    </row>
    <row r="277" spans="1:5" x14ac:dyDescent="0.35">
      <c r="A277" t="s">
        <v>1055</v>
      </c>
      <c r="B277" t="s">
        <v>1056</v>
      </c>
      <c r="C277" t="s">
        <v>514</v>
      </c>
      <c r="D277" t="s">
        <v>345</v>
      </c>
      <c r="E277">
        <v>1</v>
      </c>
    </row>
    <row r="278" spans="1:5" x14ac:dyDescent="0.35">
      <c r="A278" t="s">
        <v>1057</v>
      </c>
      <c r="B278" t="s">
        <v>1058</v>
      </c>
      <c r="C278" t="s">
        <v>358</v>
      </c>
      <c r="D278" t="s">
        <v>349</v>
      </c>
      <c r="E278">
        <v>1</v>
      </c>
    </row>
    <row r="279" spans="1:5" x14ac:dyDescent="0.35">
      <c r="A279" t="s">
        <v>1059</v>
      </c>
      <c r="B279" t="s">
        <v>1060</v>
      </c>
      <c r="C279" t="s">
        <v>1044</v>
      </c>
      <c r="D279" t="s">
        <v>345</v>
      </c>
      <c r="E279">
        <v>1</v>
      </c>
    </row>
    <row r="280" spans="1:5" x14ac:dyDescent="0.35">
      <c r="A280" t="s">
        <v>1061</v>
      </c>
      <c r="B280" t="s">
        <v>1062</v>
      </c>
      <c r="C280" t="s">
        <v>529</v>
      </c>
      <c r="D280" t="s">
        <v>362</v>
      </c>
      <c r="E280">
        <v>1</v>
      </c>
    </row>
    <row r="281" spans="1:5" x14ac:dyDescent="0.35">
      <c r="A281" t="s">
        <v>1063</v>
      </c>
      <c r="B281" t="s">
        <v>1064</v>
      </c>
      <c r="C281" t="s">
        <v>411</v>
      </c>
      <c r="D281" t="s">
        <v>345</v>
      </c>
      <c r="E281">
        <v>1</v>
      </c>
    </row>
    <row r="282" spans="1:5" x14ac:dyDescent="0.35">
      <c r="A282" t="s">
        <v>1065</v>
      </c>
      <c r="B282" t="s">
        <v>1066</v>
      </c>
      <c r="C282" t="s">
        <v>411</v>
      </c>
      <c r="D282" t="s">
        <v>345</v>
      </c>
      <c r="E282">
        <v>1</v>
      </c>
    </row>
    <row r="283" spans="1:5" x14ac:dyDescent="0.35">
      <c r="A283" t="s">
        <v>1067</v>
      </c>
      <c r="B283" t="s">
        <v>1068</v>
      </c>
      <c r="C283" t="s">
        <v>379</v>
      </c>
      <c r="D283" t="s">
        <v>349</v>
      </c>
      <c r="E283">
        <v>1</v>
      </c>
    </row>
    <row r="284" spans="1:5" x14ac:dyDescent="0.35">
      <c r="A284" t="s">
        <v>1069</v>
      </c>
      <c r="B284" t="s">
        <v>1070</v>
      </c>
      <c r="C284" t="s">
        <v>1071</v>
      </c>
      <c r="D284" t="s">
        <v>520</v>
      </c>
      <c r="E284">
        <v>1</v>
      </c>
    </row>
    <row r="285" spans="1:5" x14ac:dyDescent="0.35">
      <c r="A285" t="s">
        <v>1072</v>
      </c>
      <c r="B285" t="s">
        <v>1073</v>
      </c>
      <c r="C285" t="s">
        <v>514</v>
      </c>
      <c r="D285" t="s">
        <v>345</v>
      </c>
      <c r="E285">
        <v>1</v>
      </c>
    </row>
    <row r="286" spans="1:5" x14ac:dyDescent="0.35">
      <c r="A286" t="s">
        <v>1074</v>
      </c>
      <c r="B286" t="s">
        <v>1075</v>
      </c>
      <c r="C286" t="s">
        <v>425</v>
      </c>
      <c r="D286" t="s">
        <v>349</v>
      </c>
      <c r="E286">
        <v>1</v>
      </c>
    </row>
    <row r="287" spans="1:5" x14ac:dyDescent="0.35">
      <c r="A287" t="s">
        <v>1076</v>
      </c>
      <c r="B287" t="s">
        <v>1077</v>
      </c>
      <c r="C287" t="s">
        <v>488</v>
      </c>
      <c r="D287" t="s">
        <v>626</v>
      </c>
      <c r="E287">
        <v>1</v>
      </c>
    </row>
    <row r="288" spans="1:5" x14ac:dyDescent="0.35">
      <c r="A288" t="s">
        <v>1078</v>
      </c>
      <c r="B288" t="s">
        <v>1079</v>
      </c>
      <c r="C288" t="s">
        <v>425</v>
      </c>
      <c r="D288" t="s">
        <v>349</v>
      </c>
      <c r="E288">
        <v>1</v>
      </c>
    </row>
    <row r="289" spans="1:5" x14ac:dyDescent="0.35">
      <c r="A289" t="s">
        <v>1080</v>
      </c>
      <c r="B289" t="s">
        <v>1081</v>
      </c>
      <c r="C289" t="s">
        <v>1082</v>
      </c>
      <c r="D289" t="s">
        <v>345</v>
      </c>
      <c r="E289">
        <v>1</v>
      </c>
    </row>
    <row r="290" spans="1:5" x14ac:dyDescent="0.35">
      <c r="A290" t="s">
        <v>1083</v>
      </c>
      <c r="B290" t="s">
        <v>1084</v>
      </c>
      <c r="C290" t="s">
        <v>514</v>
      </c>
      <c r="D290" t="s">
        <v>345</v>
      </c>
      <c r="E290">
        <v>1</v>
      </c>
    </row>
    <row r="291" spans="1:5" x14ac:dyDescent="0.35">
      <c r="A291" t="s">
        <v>1085</v>
      </c>
      <c r="B291" t="s">
        <v>1086</v>
      </c>
      <c r="C291" t="s">
        <v>534</v>
      </c>
      <c r="D291" t="s">
        <v>429</v>
      </c>
      <c r="E291">
        <v>1</v>
      </c>
    </row>
    <row r="292" spans="1:5" x14ac:dyDescent="0.35">
      <c r="A292" t="s">
        <v>1087</v>
      </c>
      <c r="B292" t="s">
        <v>1088</v>
      </c>
      <c r="C292" t="s">
        <v>514</v>
      </c>
      <c r="D292" t="s">
        <v>345</v>
      </c>
      <c r="E292">
        <v>1</v>
      </c>
    </row>
    <row r="293" spans="1:5" x14ac:dyDescent="0.35">
      <c r="A293" t="s">
        <v>1089</v>
      </c>
      <c r="B293" t="s">
        <v>1090</v>
      </c>
      <c r="C293" t="s">
        <v>771</v>
      </c>
      <c r="D293" t="s">
        <v>366</v>
      </c>
      <c r="E293">
        <v>1</v>
      </c>
    </row>
    <row r="294" spans="1:5" x14ac:dyDescent="0.35">
      <c r="A294" t="s">
        <v>1091</v>
      </c>
      <c r="B294" t="s">
        <v>1092</v>
      </c>
      <c r="C294" t="s">
        <v>1093</v>
      </c>
      <c r="D294" t="s">
        <v>341</v>
      </c>
      <c r="E294">
        <v>1</v>
      </c>
    </row>
    <row r="295" spans="1:5" x14ac:dyDescent="0.35">
      <c r="A295" t="s">
        <v>1094</v>
      </c>
      <c r="B295" t="s">
        <v>1095</v>
      </c>
      <c r="C295" t="s">
        <v>1096</v>
      </c>
      <c r="D295" t="s">
        <v>220</v>
      </c>
      <c r="E295">
        <v>1</v>
      </c>
    </row>
    <row r="296" spans="1:5" x14ac:dyDescent="0.35">
      <c r="A296" t="s">
        <v>1097</v>
      </c>
      <c r="B296" t="s">
        <v>1098</v>
      </c>
      <c r="C296" t="s">
        <v>650</v>
      </c>
      <c r="D296" t="s">
        <v>520</v>
      </c>
      <c r="E296">
        <v>1</v>
      </c>
    </row>
    <row r="297" spans="1:5" x14ac:dyDescent="0.35">
      <c r="A297" t="s">
        <v>1099</v>
      </c>
      <c r="B297" t="s">
        <v>1100</v>
      </c>
      <c r="C297" t="s">
        <v>514</v>
      </c>
      <c r="D297" t="s">
        <v>345</v>
      </c>
      <c r="E297">
        <v>1</v>
      </c>
    </row>
    <row r="298" spans="1:5" x14ac:dyDescent="0.35">
      <c r="A298" t="s">
        <v>1101</v>
      </c>
      <c r="B298" t="s">
        <v>1102</v>
      </c>
      <c r="C298" t="s">
        <v>1016</v>
      </c>
      <c r="D298" t="s">
        <v>52</v>
      </c>
      <c r="E298">
        <v>1</v>
      </c>
    </row>
    <row r="299" spans="1:5" x14ac:dyDescent="0.35">
      <c r="A299" t="s">
        <v>1103</v>
      </c>
      <c r="B299" t="s">
        <v>1104</v>
      </c>
      <c r="C299" t="s">
        <v>1105</v>
      </c>
      <c r="D299" t="s">
        <v>220</v>
      </c>
      <c r="E299">
        <v>1</v>
      </c>
    </row>
    <row r="300" spans="1:5" x14ac:dyDescent="0.35">
      <c r="A300" t="s">
        <v>1106</v>
      </c>
      <c r="B300" t="s">
        <v>1107</v>
      </c>
      <c r="C300" t="s">
        <v>1108</v>
      </c>
      <c r="D300" t="s">
        <v>211</v>
      </c>
      <c r="E300">
        <v>1</v>
      </c>
    </row>
    <row r="301" spans="1:5" x14ac:dyDescent="0.35">
      <c r="A301" t="s">
        <v>1109</v>
      </c>
      <c r="B301" t="s">
        <v>1110</v>
      </c>
      <c r="C301" t="s">
        <v>779</v>
      </c>
      <c r="D301" t="s">
        <v>211</v>
      </c>
      <c r="E301">
        <v>1</v>
      </c>
    </row>
    <row r="302" spans="1:5" x14ac:dyDescent="0.35">
      <c r="A302" t="s">
        <v>1111</v>
      </c>
      <c r="B302" t="s">
        <v>1112</v>
      </c>
      <c r="C302" t="s">
        <v>1113</v>
      </c>
      <c r="D302" t="s">
        <v>376</v>
      </c>
      <c r="E302">
        <v>1</v>
      </c>
    </row>
    <row r="303" spans="1:5" x14ac:dyDescent="0.35">
      <c r="A303" t="s">
        <v>1114</v>
      </c>
      <c r="B303" t="s">
        <v>1115</v>
      </c>
      <c r="C303" t="s">
        <v>534</v>
      </c>
      <c r="D303" t="s">
        <v>429</v>
      </c>
      <c r="E303">
        <v>1</v>
      </c>
    </row>
    <row r="304" spans="1:5" x14ac:dyDescent="0.35">
      <c r="A304" t="s">
        <v>1116</v>
      </c>
      <c r="B304" t="s">
        <v>1117</v>
      </c>
      <c r="C304" t="s">
        <v>1096</v>
      </c>
      <c r="D304" t="s">
        <v>220</v>
      </c>
      <c r="E304">
        <v>1</v>
      </c>
    </row>
    <row r="305" spans="1:5" x14ac:dyDescent="0.35">
      <c r="A305" t="s">
        <v>1118</v>
      </c>
      <c r="B305" t="s">
        <v>1119</v>
      </c>
      <c r="C305" t="s">
        <v>379</v>
      </c>
      <c r="D305" t="s">
        <v>349</v>
      </c>
      <c r="E305">
        <v>1</v>
      </c>
    </row>
    <row r="306" spans="1:5" x14ac:dyDescent="0.35">
      <c r="A306" t="s">
        <v>1120</v>
      </c>
      <c r="B306" t="s">
        <v>1121</v>
      </c>
      <c r="C306" t="s">
        <v>694</v>
      </c>
      <c r="D306" t="s">
        <v>349</v>
      </c>
      <c r="E306">
        <v>1</v>
      </c>
    </row>
    <row r="307" spans="1:5" x14ac:dyDescent="0.35">
      <c r="A307" t="s">
        <v>1122</v>
      </c>
      <c r="B307" t="s">
        <v>1123</v>
      </c>
      <c r="C307" t="s">
        <v>889</v>
      </c>
      <c r="D307" t="s">
        <v>349</v>
      </c>
      <c r="E307">
        <v>1</v>
      </c>
    </row>
    <row r="308" spans="1:5" x14ac:dyDescent="0.35">
      <c r="A308" t="s">
        <v>1124</v>
      </c>
      <c r="B308" t="s">
        <v>1125</v>
      </c>
      <c r="C308" t="s">
        <v>425</v>
      </c>
      <c r="D308" t="s">
        <v>1126</v>
      </c>
      <c r="E308">
        <v>1</v>
      </c>
    </row>
    <row r="309" spans="1:5" x14ac:dyDescent="0.35">
      <c r="A309" t="s">
        <v>1127</v>
      </c>
      <c r="B309" t="s">
        <v>1128</v>
      </c>
      <c r="C309" t="s">
        <v>634</v>
      </c>
      <c r="D309" t="s">
        <v>541</v>
      </c>
      <c r="E309">
        <v>1</v>
      </c>
    </row>
    <row r="310" spans="1:5" x14ac:dyDescent="0.35">
      <c r="A310" t="s">
        <v>1129</v>
      </c>
      <c r="B310" t="s">
        <v>1130</v>
      </c>
      <c r="C310" t="s">
        <v>425</v>
      </c>
      <c r="D310" t="s">
        <v>349</v>
      </c>
      <c r="E310">
        <v>1</v>
      </c>
    </row>
    <row r="311" spans="1:5" x14ac:dyDescent="0.35">
      <c r="A311" t="s">
        <v>1131</v>
      </c>
      <c r="B311" t="s">
        <v>1132</v>
      </c>
      <c r="C311" t="s">
        <v>889</v>
      </c>
      <c r="D311" t="s">
        <v>349</v>
      </c>
      <c r="E311">
        <v>1</v>
      </c>
    </row>
    <row r="312" spans="1:5" x14ac:dyDescent="0.35">
      <c r="A312" t="s">
        <v>1133</v>
      </c>
      <c r="B312" t="s">
        <v>1134</v>
      </c>
      <c r="C312" t="s">
        <v>379</v>
      </c>
      <c r="D312" t="s">
        <v>349</v>
      </c>
      <c r="E312">
        <v>1</v>
      </c>
    </row>
    <row r="313" spans="1:5" x14ac:dyDescent="0.35">
      <c r="A313" t="s">
        <v>1135</v>
      </c>
      <c r="B313" t="s">
        <v>1136</v>
      </c>
      <c r="C313" t="s">
        <v>889</v>
      </c>
      <c r="D313" t="s">
        <v>349</v>
      </c>
      <c r="E313">
        <v>1</v>
      </c>
    </row>
    <row r="314" spans="1:5" x14ac:dyDescent="0.35">
      <c r="A314" t="s">
        <v>1137</v>
      </c>
      <c r="B314" t="s">
        <v>1138</v>
      </c>
      <c r="C314" t="s">
        <v>1139</v>
      </c>
      <c r="D314" t="s">
        <v>429</v>
      </c>
      <c r="E314">
        <v>1</v>
      </c>
    </row>
    <row r="315" spans="1:5" x14ac:dyDescent="0.35">
      <c r="A315" t="s">
        <v>1140</v>
      </c>
      <c r="B315" t="s">
        <v>1141</v>
      </c>
      <c r="C315" t="s">
        <v>537</v>
      </c>
      <c r="D315" t="s">
        <v>72</v>
      </c>
      <c r="E315">
        <v>1</v>
      </c>
    </row>
    <row r="316" spans="1:5" x14ac:dyDescent="0.35">
      <c r="A316" t="s">
        <v>1142</v>
      </c>
      <c r="B316" t="s">
        <v>1143</v>
      </c>
      <c r="C316" t="s">
        <v>544</v>
      </c>
      <c r="D316" t="s">
        <v>541</v>
      </c>
      <c r="E316">
        <v>1</v>
      </c>
    </row>
    <row r="317" spans="1:5" x14ac:dyDescent="0.35">
      <c r="A317" t="s">
        <v>1144</v>
      </c>
      <c r="B317" t="s">
        <v>1145</v>
      </c>
      <c r="C317" t="s">
        <v>671</v>
      </c>
      <c r="D317" t="s">
        <v>622</v>
      </c>
      <c r="E317">
        <v>1</v>
      </c>
    </row>
    <row r="318" spans="1:5" x14ac:dyDescent="0.35">
      <c r="A318" t="s">
        <v>1146</v>
      </c>
      <c r="B318" t="s">
        <v>1147</v>
      </c>
      <c r="C318" t="s">
        <v>537</v>
      </c>
      <c r="D318" t="s">
        <v>72</v>
      </c>
      <c r="E318">
        <v>1</v>
      </c>
    </row>
    <row r="319" spans="1:5" x14ac:dyDescent="0.35">
      <c r="A319" t="s">
        <v>1148</v>
      </c>
      <c r="B319" t="s">
        <v>1149</v>
      </c>
      <c r="C319" t="s">
        <v>537</v>
      </c>
      <c r="D319" t="s">
        <v>72</v>
      </c>
      <c r="E319">
        <v>1</v>
      </c>
    </row>
    <row r="320" spans="1:5" x14ac:dyDescent="0.35">
      <c r="A320" t="s">
        <v>1150</v>
      </c>
      <c r="B320" t="s">
        <v>1151</v>
      </c>
      <c r="C320" t="s">
        <v>688</v>
      </c>
      <c r="D320" t="s">
        <v>541</v>
      </c>
      <c r="E320">
        <v>1</v>
      </c>
    </row>
    <row r="321" spans="1:5" x14ac:dyDescent="0.35">
      <c r="A321" t="s">
        <v>1152</v>
      </c>
      <c r="B321" t="s">
        <v>1153</v>
      </c>
      <c r="C321" t="s">
        <v>474</v>
      </c>
      <c r="D321" t="s">
        <v>362</v>
      </c>
      <c r="E321">
        <v>1</v>
      </c>
    </row>
    <row r="322" spans="1:5" x14ac:dyDescent="0.35">
      <c r="A322" t="s">
        <v>1154</v>
      </c>
      <c r="B322" t="s">
        <v>1155</v>
      </c>
      <c r="C322" t="s">
        <v>514</v>
      </c>
      <c r="D322" t="s">
        <v>345</v>
      </c>
      <c r="E322">
        <v>1</v>
      </c>
    </row>
    <row r="323" spans="1:5" x14ac:dyDescent="0.35">
      <c r="A323" t="s">
        <v>1156</v>
      </c>
      <c r="B323" t="s">
        <v>1157</v>
      </c>
      <c r="C323" t="s">
        <v>537</v>
      </c>
      <c r="D323" t="s">
        <v>72</v>
      </c>
      <c r="E323">
        <v>1</v>
      </c>
    </row>
    <row r="324" spans="1:5" x14ac:dyDescent="0.35">
      <c r="A324" t="s">
        <v>1158</v>
      </c>
      <c r="B324" t="s">
        <v>1159</v>
      </c>
      <c r="C324" t="s">
        <v>514</v>
      </c>
      <c r="D324" t="s">
        <v>345</v>
      </c>
      <c r="E324">
        <v>1</v>
      </c>
    </row>
    <row r="325" spans="1:5" x14ac:dyDescent="0.35">
      <c r="A325" t="s">
        <v>1160</v>
      </c>
      <c r="B325" t="s">
        <v>1161</v>
      </c>
      <c r="C325" t="s">
        <v>1162</v>
      </c>
      <c r="D325" t="s">
        <v>1163</v>
      </c>
      <c r="E325">
        <v>1</v>
      </c>
    </row>
    <row r="326" spans="1:5" x14ac:dyDescent="0.35">
      <c r="A326" t="s">
        <v>1164</v>
      </c>
      <c r="B326" t="s">
        <v>1165</v>
      </c>
      <c r="C326" t="s">
        <v>1166</v>
      </c>
      <c r="D326" t="s">
        <v>1167</v>
      </c>
      <c r="E326">
        <v>2</v>
      </c>
    </row>
    <row r="327" spans="1:5" x14ac:dyDescent="0.35">
      <c r="A327" t="s">
        <v>1168</v>
      </c>
      <c r="B327" t="s">
        <v>1169</v>
      </c>
      <c r="C327" t="s">
        <v>1170</v>
      </c>
      <c r="D327" t="s">
        <v>440</v>
      </c>
      <c r="E327">
        <v>2</v>
      </c>
    </row>
    <row r="328" spans="1:5" x14ac:dyDescent="0.35">
      <c r="A328" t="s">
        <v>1171</v>
      </c>
      <c r="B328" t="s">
        <v>1172</v>
      </c>
      <c r="C328" t="s">
        <v>889</v>
      </c>
      <c r="D328" t="s">
        <v>349</v>
      </c>
      <c r="E328">
        <v>1</v>
      </c>
    </row>
    <row r="329" spans="1:5" x14ac:dyDescent="0.35">
      <c r="A329" t="s">
        <v>1173</v>
      </c>
      <c r="B329" t="s">
        <v>1174</v>
      </c>
      <c r="C329" t="s">
        <v>889</v>
      </c>
      <c r="D329" t="s">
        <v>349</v>
      </c>
      <c r="E329">
        <v>1</v>
      </c>
    </row>
    <row r="330" spans="1:5" x14ac:dyDescent="0.35">
      <c r="A330" t="s">
        <v>1175</v>
      </c>
      <c r="B330" t="s">
        <v>1176</v>
      </c>
      <c r="C330" t="s">
        <v>612</v>
      </c>
      <c r="D330" t="s">
        <v>220</v>
      </c>
      <c r="E330">
        <v>1</v>
      </c>
    </row>
    <row r="331" spans="1:5" x14ac:dyDescent="0.35">
      <c r="A331" t="s">
        <v>1177</v>
      </c>
      <c r="B331" t="s">
        <v>1178</v>
      </c>
      <c r="C331" t="s">
        <v>1179</v>
      </c>
      <c r="D331" t="s">
        <v>1180</v>
      </c>
      <c r="E331">
        <v>1</v>
      </c>
    </row>
    <row r="332" spans="1:5" x14ac:dyDescent="0.35">
      <c r="A332" t="s">
        <v>1181</v>
      </c>
      <c r="B332" t="s">
        <v>1182</v>
      </c>
      <c r="C332" t="s">
        <v>425</v>
      </c>
      <c r="D332" t="s">
        <v>349</v>
      </c>
      <c r="E332">
        <v>1</v>
      </c>
    </row>
    <row r="333" spans="1:5" x14ac:dyDescent="0.35">
      <c r="A333" t="s">
        <v>1183</v>
      </c>
      <c r="B333" t="s">
        <v>1184</v>
      </c>
      <c r="C333" t="s">
        <v>425</v>
      </c>
      <c r="D333" t="s">
        <v>349</v>
      </c>
      <c r="E333">
        <v>1</v>
      </c>
    </row>
    <row r="334" spans="1:5" x14ac:dyDescent="0.35">
      <c r="A334" t="s">
        <v>1185</v>
      </c>
      <c r="B334" t="s">
        <v>1186</v>
      </c>
      <c r="C334" t="s">
        <v>625</v>
      </c>
      <c r="D334" t="s">
        <v>626</v>
      </c>
      <c r="E334">
        <v>1</v>
      </c>
    </row>
    <row r="335" spans="1:5" x14ac:dyDescent="0.35">
      <c r="A335" t="s">
        <v>1187</v>
      </c>
      <c r="B335" t="s">
        <v>1188</v>
      </c>
      <c r="C335" t="s">
        <v>832</v>
      </c>
      <c r="D335" t="s">
        <v>622</v>
      </c>
      <c r="E335">
        <v>1</v>
      </c>
    </row>
    <row r="336" spans="1:5" x14ac:dyDescent="0.35">
      <c r="A336" t="s">
        <v>1189</v>
      </c>
      <c r="B336" t="s">
        <v>1190</v>
      </c>
      <c r="C336" t="s">
        <v>971</v>
      </c>
      <c r="D336" t="s">
        <v>52</v>
      </c>
      <c r="E336">
        <v>1</v>
      </c>
    </row>
    <row r="337" spans="1:5" x14ac:dyDescent="0.35">
      <c r="A337" t="s">
        <v>1191</v>
      </c>
      <c r="B337" t="s">
        <v>1192</v>
      </c>
      <c r="C337" t="s">
        <v>1193</v>
      </c>
      <c r="D337" t="s">
        <v>436</v>
      </c>
      <c r="E337">
        <v>2</v>
      </c>
    </row>
    <row r="338" spans="1:5" x14ac:dyDescent="0.35">
      <c r="A338" t="s">
        <v>1194</v>
      </c>
      <c r="B338" t="s">
        <v>1195</v>
      </c>
      <c r="C338" t="s">
        <v>1196</v>
      </c>
      <c r="D338" t="s">
        <v>123</v>
      </c>
      <c r="E338">
        <v>1</v>
      </c>
    </row>
    <row r="339" spans="1:5" x14ac:dyDescent="0.35">
      <c r="A339" t="s">
        <v>1197</v>
      </c>
      <c r="B339" t="s">
        <v>1198</v>
      </c>
      <c r="C339" t="s">
        <v>642</v>
      </c>
      <c r="D339" t="s">
        <v>362</v>
      </c>
      <c r="E339">
        <v>1</v>
      </c>
    </row>
    <row r="340" spans="1:5" x14ac:dyDescent="0.35">
      <c r="A340" t="s">
        <v>1199</v>
      </c>
      <c r="B340" t="s">
        <v>1200</v>
      </c>
      <c r="C340" t="s">
        <v>379</v>
      </c>
      <c r="D340" t="s">
        <v>349</v>
      </c>
      <c r="E340">
        <v>1</v>
      </c>
    </row>
    <row r="341" spans="1:5" x14ac:dyDescent="0.35">
      <c r="A341" t="s">
        <v>1201</v>
      </c>
      <c r="B341" t="s">
        <v>1202</v>
      </c>
      <c r="C341" t="s">
        <v>1203</v>
      </c>
      <c r="D341" t="s">
        <v>52</v>
      </c>
      <c r="E341">
        <v>1</v>
      </c>
    </row>
    <row r="342" spans="1:5" x14ac:dyDescent="0.35">
      <c r="A342" t="s">
        <v>1204</v>
      </c>
      <c r="B342" t="s">
        <v>1205</v>
      </c>
      <c r="C342" t="s">
        <v>1206</v>
      </c>
      <c r="D342" t="s">
        <v>220</v>
      </c>
      <c r="E342">
        <v>1</v>
      </c>
    </row>
    <row r="343" spans="1:5" x14ac:dyDescent="0.35">
      <c r="A343" t="s">
        <v>1207</v>
      </c>
      <c r="B343" t="s">
        <v>1208</v>
      </c>
      <c r="C343" t="s">
        <v>921</v>
      </c>
      <c r="D343" t="s">
        <v>345</v>
      </c>
      <c r="E343">
        <v>1</v>
      </c>
    </row>
    <row r="344" spans="1:5" x14ac:dyDescent="0.35">
      <c r="A344" t="s">
        <v>1209</v>
      </c>
      <c r="B344" t="s">
        <v>1210</v>
      </c>
      <c r="C344" t="s">
        <v>908</v>
      </c>
      <c r="D344" t="s">
        <v>237</v>
      </c>
      <c r="E344">
        <v>1</v>
      </c>
    </row>
    <row r="345" spans="1:5" x14ac:dyDescent="0.35">
      <c r="A345" t="s">
        <v>1211</v>
      </c>
      <c r="B345" t="s">
        <v>1212</v>
      </c>
      <c r="C345" t="s">
        <v>940</v>
      </c>
      <c r="D345" t="s">
        <v>520</v>
      </c>
      <c r="E345">
        <v>1</v>
      </c>
    </row>
    <row r="346" spans="1:5" x14ac:dyDescent="0.35">
      <c r="A346" t="s">
        <v>1213</v>
      </c>
      <c r="B346" t="s">
        <v>1214</v>
      </c>
      <c r="C346" t="s">
        <v>425</v>
      </c>
      <c r="D346" t="s">
        <v>349</v>
      </c>
      <c r="E346">
        <v>1</v>
      </c>
    </row>
    <row r="347" spans="1:5" x14ac:dyDescent="0.35">
      <c r="A347" t="s">
        <v>1215</v>
      </c>
      <c r="B347" t="s">
        <v>1216</v>
      </c>
      <c r="C347" t="s">
        <v>514</v>
      </c>
      <c r="D347" t="s">
        <v>345</v>
      </c>
      <c r="E347">
        <v>1</v>
      </c>
    </row>
    <row r="348" spans="1:5" x14ac:dyDescent="0.35">
      <c r="A348" t="s">
        <v>1217</v>
      </c>
      <c r="B348" t="s">
        <v>1218</v>
      </c>
      <c r="C348" t="s">
        <v>529</v>
      </c>
      <c r="D348" t="s">
        <v>362</v>
      </c>
      <c r="E348">
        <v>1</v>
      </c>
    </row>
    <row r="349" spans="1:5" x14ac:dyDescent="0.35">
      <c r="A349" t="s">
        <v>1219</v>
      </c>
      <c r="B349" t="s">
        <v>1220</v>
      </c>
      <c r="C349" t="s">
        <v>984</v>
      </c>
      <c r="D349" t="s">
        <v>520</v>
      </c>
      <c r="E349">
        <v>1</v>
      </c>
    </row>
    <row r="350" spans="1:5" x14ac:dyDescent="0.35">
      <c r="A350" t="s">
        <v>1221</v>
      </c>
      <c r="B350" t="s">
        <v>1222</v>
      </c>
      <c r="C350" t="s">
        <v>1041</v>
      </c>
      <c r="D350" t="s">
        <v>96</v>
      </c>
      <c r="E350">
        <v>1</v>
      </c>
    </row>
    <row r="351" spans="1:5" x14ac:dyDescent="0.35">
      <c r="A351" t="s">
        <v>1223</v>
      </c>
      <c r="B351" t="s">
        <v>1224</v>
      </c>
      <c r="C351" t="s">
        <v>889</v>
      </c>
      <c r="D351" t="s">
        <v>349</v>
      </c>
      <c r="E351">
        <v>1</v>
      </c>
    </row>
    <row r="352" spans="1:5" x14ac:dyDescent="0.35">
      <c r="A352" t="s">
        <v>1225</v>
      </c>
      <c r="B352" t="s">
        <v>1226</v>
      </c>
      <c r="C352" t="s">
        <v>642</v>
      </c>
      <c r="D352" t="s">
        <v>362</v>
      </c>
      <c r="E352">
        <v>1</v>
      </c>
    </row>
    <row r="353" spans="1:5" x14ac:dyDescent="0.35">
      <c r="A353" t="s">
        <v>1227</v>
      </c>
      <c r="B353" t="s">
        <v>1228</v>
      </c>
      <c r="C353" t="s">
        <v>1229</v>
      </c>
      <c r="D353" t="s">
        <v>462</v>
      </c>
      <c r="E353">
        <v>2</v>
      </c>
    </row>
    <row r="354" spans="1:5" x14ac:dyDescent="0.35">
      <c r="A354" t="s">
        <v>1230</v>
      </c>
      <c r="B354" t="s">
        <v>1231</v>
      </c>
      <c r="C354" t="s">
        <v>1232</v>
      </c>
      <c r="D354" t="s">
        <v>404</v>
      </c>
      <c r="E354">
        <v>2</v>
      </c>
    </row>
    <row r="355" spans="1:5" x14ac:dyDescent="0.35">
      <c r="A355" t="s">
        <v>1233</v>
      </c>
      <c r="B355" t="s">
        <v>1234</v>
      </c>
      <c r="C355" t="s">
        <v>1235</v>
      </c>
      <c r="D355" t="s">
        <v>429</v>
      </c>
      <c r="E355">
        <v>1</v>
      </c>
    </row>
    <row r="356" spans="1:5" x14ac:dyDescent="0.35">
      <c r="A356" t="s">
        <v>1236</v>
      </c>
      <c r="B356" t="s">
        <v>1237</v>
      </c>
      <c r="C356" t="s">
        <v>529</v>
      </c>
      <c r="D356" t="s">
        <v>362</v>
      </c>
      <c r="E356">
        <v>1</v>
      </c>
    </row>
    <row r="357" spans="1:5" x14ac:dyDescent="0.35">
      <c r="A357" t="s">
        <v>1238</v>
      </c>
      <c r="B357" t="s">
        <v>1239</v>
      </c>
      <c r="C357" t="s">
        <v>514</v>
      </c>
      <c r="D357" t="s">
        <v>345</v>
      </c>
      <c r="E357">
        <v>1</v>
      </c>
    </row>
    <row r="358" spans="1:5" x14ac:dyDescent="0.35">
      <c r="A358" t="s">
        <v>1240</v>
      </c>
      <c r="B358" t="s">
        <v>1241</v>
      </c>
      <c r="C358" t="s">
        <v>688</v>
      </c>
      <c r="D358" t="s">
        <v>541</v>
      </c>
      <c r="E358">
        <v>1</v>
      </c>
    </row>
    <row r="359" spans="1:5" x14ac:dyDescent="0.35">
      <c r="A359" t="s">
        <v>1242</v>
      </c>
      <c r="B359" t="s">
        <v>1243</v>
      </c>
      <c r="C359" t="s">
        <v>1244</v>
      </c>
      <c r="D359" t="s">
        <v>158</v>
      </c>
      <c r="E359">
        <v>1</v>
      </c>
    </row>
    <row r="360" spans="1:5" x14ac:dyDescent="0.35">
      <c r="A360" t="s">
        <v>1245</v>
      </c>
      <c r="B360" t="s">
        <v>1246</v>
      </c>
      <c r="C360" t="s">
        <v>1247</v>
      </c>
      <c r="D360" t="s">
        <v>622</v>
      </c>
      <c r="E360">
        <v>1</v>
      </c>
    </row>
    <row r="361" spans="1:5" x14ac:dyDescent="0.35">
      <c r="A361" t="s">
        <v>1248</v>
      </c>
      <c r="B361" t="s">
        <v>1249</v>
      </c>
      <c r="C361" t="s">
        <v>514</v>
      </c>
      <c r="D361" t="s">
        <v>345</v>
      </c>
      <c r="E361">
        <v>1</v>
      </c>
    </row>
    <row r="362" spans="1:5" x14ac:dyDescent="0.35">
      <c r="A362" t="s">
        <v>1250</v>
      </c>
      <c r="B362" t="s">
        <v>1251</v>
      </c>
      <c r="C362" t="s">
        <v>829</v>
      </c>
      <c r="D362" t="s">
        <v>211</v>
      </c>
      <c r="E362">
        <v>1</v>
      </c>
    </row>
    <row r="363" spans="1:5" x14ac:dyDescent="0.35">
      <c r="A363" t="s">
        <v>1252</v>
      </c>
      <c r="B363" t="s">
        <v>1253</v>
      </c>
      <c r="C363" t="s">
        <v>889</v>
      </c>
      <c r="D363" t="s">
        <v>1126</v>
      </c>
      <c r="E363">
        <v>1</v>
      </c>
    </row>
    <row r="364" spans="1:5" x14ac:dyDescent="0.35">
      <c r="A364" t="s">
        <v>1254</v>
      </c>
      <c r="B364" t="s">
        <v>1255</v>
      </c>
      <c r="C364" t="s">
        <v>1256</v>
      </c>
      <c r="D364" t="s">
        <v>520</v>
      </c>
      <c r="E364">
        <v>1</v>
      </c>
    </row>
    <row r="365" spans="1:5" x14ac:dyDescent="0.35">
      <c r="A365" t="s">
        <v>1257</v>
      </c>
      <c r="B365" t="s">
        <v>1258</v>
      </c>
      <c r="C365" t="s">
        <v>474</v>
      </c>
      <c r="D365" t="s">
        <v>362</v>
      </c>
      <c r="E365">
        <v>1</v>
      </c>
    </row>
    <row r="366" spans="1:5" x14ac:dyDescent="0.35">
      <c r="A366" t="s">
        <v>1259</v>
      </c>
      <c r="B366" t="s">
        <v>1260</v>
      </c>
      <c r="C366" t="s">
        <v>1261</v>
      </c>
      <c r="D366" t="s">
        <v>142</v>
      </c>
      <c r="E366">
        <v>1</v>
      </c>
    </row>
    <row r="367" spans="1:5" x14ac:dyDescent="0.35">
      <c r="A367" t="s">
        <v>1262</v>
      </c>
      <c r="B367" t="s">
        <v>1263</v>
      </c>
      <c r="C367" t="s">
        <v>379</v>
      </c>
      <c r="D367" t="s">
        <v>349</v>
      </c>
      <c r="E367">
        <v>1</v>
      </c>
    </row>
    <row r="368" spans="1:5" x14ac:dyDescent="0.35">
      <c r="A368" t="s">
        <v>1264</v>
      </c>
      <c r="B368" t="s">
        <v>1265</v>
      </c>
      <c r="C368" t="s">
        <v>1266</v>
      </c>
      <c r="D368" t="s">
        <v>111</v>
      </c>
      <c r="E368">
        <v>1</v>
      </c>
    </row>
    <row r="369" spans="1:5" x14ac:dyDescent="0.35">
      <c r="A369" t="s">
        <v>1267</v>
      </c>
      <c r="B369" t="s">
        <v>1268</v>
      </c>
      <c r="C369" t="s">
        <v>1269</v>
      </c>
      <c r="D369" t="s">
        <v>103</v>
      </c>
      <c r="E369">
        <v>1</v>
      </c>
    </row>
    <row r="370" spans="1:5" x14ac:dyDescent="0.35">
      <c r="A370" t="s">
        <v>1270</v>
      </c>
      <c r="B370" t="s">
        <v>1271</v>
      </c>
      <c r="C370" t="s">
        <v>711</v>
      </c>
      <c r="D370" t="s">
        <v>520</v>
      </c>
      <c r="E370">
        <v>1</v>
      </c>
    </row>
    <row r="371" spans="1:5" x14ac:dyDescent="0.35">
      <c r="A371" t="s">
        <v>1272</v>
      </c>
      <c r="B371" t="s">
        <v>1273</v>
      </c>
      <c r="C371" t="s">
        <v>875</v>
      </c>
      <c r="D371" t="s">
        <v>189</v>
      </c>
      <c r="E371">
        <v>1</v>
      </c>
    </row>
    <row r="372" spans="1:5" x14ac:dyDescent="0.35">
      <c r="A372" t="s">
        <v>1274</v>
      </c>
      <c r="B372" t="s">
        <v>1275</v>
      </c>
      <c r="C372" t="s">
        <v>1276</v>
      </c>
      <c r="D372" t="s">
        <v>408</v>
      </c>
      <c r="E372">
        <v>1</v>
      </c>
    </row>
    <row r="373" spans="1:5" x14ac:dyDescent="0.35">
      <c r="A373" t="s">
        <v>1277</v>
      </c>
      <c r="B373" t="s">
        <v>1278</v>
      </c>
      <c r="C373" t="s">
        <v>1024</v>
      </c>
      <c r="D373" t="s">
        <v>376</v>
      </c>
      <c r="E373">
        <v>1</v>
      </c>
    </row>
    <row r="374" spans="1:5" x14ac:dyDescent="0.35">
      <c r="A374" t="s">
        <v>1279</v>
      </c>
      <c r="B374" t="s">
        <v>1280</v>
      </c>
      <c r="C374" t="s">
        <v>829</v>
      </c>
      <c r="D374" t="s">
        <v>211</v>
      </c>
      <c r="E374">
        <v>1</v>
      </c>
    </row>
    <row r="375" spans="1:5" x14ac:dyDescent="0.35">
      <c r="A375" t="s">
        <v>1281</v>
      </c>
      <c r="B375" t="s">
        <v>1282</v>
      </c>
      <c r="C375" t="s">
        <v>425</v>
      </c>
      <c r="D375" t="s">
        <v>349</v>
      </c>
      <c r="E375">
        <v>1</v>
      </c>
    </row>
    <row r="376" spans="1:5" x14ac:dyDescent="0.35">
      <c r="A376" t="s">
        <v>1283</v>
      </c>
      <c r="B376" t="s">
        <v>1284</v>
      </c>
      <c r="C376" t="s">
        <v>1285</v>
      </c>
      <c r="D376" t="s">
        <v>123</v>
      </c>
      <c r="E376">
        <v>1</v>
      </c>
    </row>
    <row r="377" spans="1:5" x14ac:dyDescent="0.35">
      <c r="A377" t="s">
        <v>1286</v>
      </c>
      <c r="B377" t="s">
        <v>1287</v>
      </c>
      <c r="C377" t="s">
        <v>425</v>
      </c>
      <c r="D377" t="s">
        <v>349</v>
      </c>
      <c r="E377">
        <v>1</v>
      </c>
    </row>
    <row r="378" spans="1:5" x14ac:dyDescent="0.35">
      <c r="A378" t="s">
        <v>1288</v>
      </c>
      <c r="B378" t="s">
        <v>1289</v>
      </c>
      <c r="C378" t="s">
        <v>1290</v>
      </c>
      <c r="D378" t="s">
        <v>237</v>
      </c>
      <c r="E378">
        <v>1</v>
      </c>
    </row>
    <row r="379" spans="1:5" x14ac:dyDescent="0.35">
      <c r="A379" t="s">
        <v>1291</v>
      </c>
      <c r="B379" t="s">
        <v>1292</v>
      </c>
      <c r="C379" t="s">
        <v>425</v>
      </c>
      <c r="D379" t="s">
        <v>349</v>
      </c>
      <c r="E379">
        <v>1</v>
      </c>
    </row>
    <row r="380" spans="1:5" x14ac:dyDescent="0.35">
      <c r="A380" t="s">
        <v>1293</v>
      </c>
      <c r="B380" t="s">
        <v>1294</v>
      </c>
      <c r="C380" t="s">
        <v>425</v>
      </c>
      <c r="D380" t="s">
        <v>349</v>
      </c>
      <c r="E380">
        <v>1</v>
      </c>
    </row>
    <row r="381" spans="1:5" x14ac:dyDescent="0.35">
      <c r="A381" t="s">
        <v>1295</v>
      </c>
      <c r="B381" t="s">
        <v>1296</v>
      </c>
      <c r="C381" t="s">
        <v>1297</v>
      </c>
      <c r="D381" t="s">
        <v>142</v>
      </c>
      <c r="E381">
        <v>1</v>
      </c>
    </row>
    <row r="382" spans="1:5" x14ac:dyDescent="0.35">
      <c r="A382" t="s">
        <v>1298</v>
      </c>
      <c r="B382" t="s">
        <v>1299</v>
      </c>
      <c r="C382" t="s">
        <v>1300</v>
      </c>
      <c r="D382" t="s">
        <v>52</v>
      </c>
      <c r="E382">
        <v>1</v>
      </c>
    </row>
    <row r="383" spans="1:5" x14ac:dyDescent="0.35">
      <c r="A383" t="s">
        <v>1301</v>
      </c>
      <c r="B383" t="s">
        <v>1302</v>
      </c>
      <c r="C383" t="s">
        <v>425</v>
      </c>
      <c r="D383" t="s">
        <v>349</v>
      </c>
      <c r="E383">
        <v>1</v>
      </c>
    </row>
    <row r="384" spans="1:5" x14ac:dyDescent="0.35">
      <c r="A384" t="s">
        <v>1303</v>
      </c>
      <c r="B384" t="s">
        <v>1304</v>
      </c>
      <c r="C384" t="s">
        <v>971</v>
      </c>
      <c r="D384" t="s">
        <v>52</v>
      </c>
      <c r="E384">
        <v>1</v>
      </c>
    </row>
    <row r="385" spans="1:5" x14ac:dyDescent="0.35">
      <c r="A385" t="s">
        <v>1305</v>
      </c>
      <c r="B385" t="s">
        <v>1306</v>
      </c>
      <c r="C385" t="s">
        <v>1307</v>
      </c>
      <c r="D385" t="s">
        <v>912</v>
      </c>
      <c r="E385">
        <v>1</v>
      </c>
    </row>
    <row r="386" spans="1:5" x14ac:dyDescent="0.35">
      <c r="A386" t="s">
        <v>1308</v>
      </c>
      <c r="B386" t="s">
        <v>1309</v>
      </c>
      <c r="C386" t="s">
        <v>1310</v>
      </c>
      <c r="D386" t="s">
        <v>429</v>
      </c>
      <c r="E386">
        <v>1</v>
      </c>
    </row>
    <row r="387" spans="1:5" x14ac:dyDescent="0.35">
      <c r="A387" t="s">
        <v>1311</v>
      </c>
      <c r="B387" t="s">
        <v>1312</v>
      </c>
      <c r="C387" t="s">
        <v>1313</v>
      </c>
      <c r="D387" t="s">
        <v>395</v>
      </c>
      <c r="E387">
        <v>1</v>
      </c>
    </row>
    <row r="388" spans="1:5" x14ac:dyDescent="0.35">
      <c r="A388" t="s">
        <v>1314</v>
      </c>
      <c r="B388" t="s">
        <v>1315</v>
      </c>
      <c r="C388" t="s">
        <v>529</v>
      </c>
      <c r="D388" t="s">
        <v>362</v>
      </c>
      <c r="E388">
        <v>1</v>
      </c>
    </row>
    <row r="389" spans="1:5" x14ac:dyDescent="0.35">
      <c r="A389" t="s">
        <v>1316</v>
      </c>
      <c r="B389" t="s">
        <v>1317</v>
      </c>
      <c r="C389" t="s">
        <v>1318</v>
      </c>
      <c r="D389" t="s">
        <v>111</v>
      </c>
      <c r="E389">
        <v>1</v>
      </c>
    </row>
    <row r="390" spans="1:5" x14ac:dyDescent="0.35">
      <c r="A390" t="s">
        <v>1319</v>
      </c>
      <c r="B390" t="s">
        <v>1320</v>
      </c>
      <c r="C390" t="s">
        <v>514</v>
      </c>
      <c r="D390" t="s">
        <v>345</v>
      </c>
      <c r="E390">
        <v>1</v>
      </c>
    </row>
    <row r="391" spans="1:5" x14ac:dyDescent="0.35">
      <c r="A391" t="s">
        <v>1321</v>
      </c>
      <c r="B391" t="s">
        <v>1322</v>
      </c>
      <c r="C391" t="s">
        <v>849</v>
      </c>
      <c r="D391" t="s">
        <v>52</v>
      </c>
      <c r="E391">
        <v>1</v>
      </c>
    </row>
    <row r="392" spans="1:5" x14ac:dyDescent="0.35">
      <c r="A392" t="s">
        <v>1323</v>
      </c>
      <c r="B392" t="s">
        <v>1324</v>
      </c>
      <c r="C392" t="s">
        <v>488</v>
      </c>
      <c r="D392" t="s">
        <v>626</v>
      </c>
      <c r="E392">
        <v>1</v>
      </c>
    </row>
    <row r="393" spans="1:5" x14ac:dyDescent="0.35">
      <c r="A393" t="s">
        <v>1325</v>
      </c>
      <c r="B393" t="s">
        <v>1326</v>
      </c>
      <c r="C393" t="s">
        <v>379</v>
      </c>
      <c r="D393" t="s">
        <v>349</v>
      </c>
      <c r="E393">
        <v>1</v>
      </c>
    </row>
    <row r="394" spans="1:5" x14ac:dyDescent="0.35">
      <c r="A394" t="s">
        <v>1327</v>
      </c>
      <c r="B394" t="s">
        <v>1328</v>
      </c>
      <c r="C394" t="s">
        <v>1329</v>
      </c>
      <c r="D394" t="s">
        <v>345</v>
      </c>
      <c r="E394">
        <v>1</v>
      </c>
    </row>
    <row r="395" spans="1:5" x14ac:dyDescent="0.35">
      <c r="A395" t="s">
        <v>1330</v>
      </c>
      <c r="B395" t="s">
        <v>1331</v>
      </c>
      <c r="C395" t="s">
        <v>1332</v>
      </c>
      <c r="D395" t="s">
        <v>556</v>
      </c>
      <c r="E395">
        <v>1</v>
      </c>
    </row>
    <row r="396" spans="1:5" x14ac:dyDescent="0.35">
      <c r="A396" t="s">
        <v>1333</v>
      </c>
      <c r="B396" t="s">
        <v>1334</v>
      </c>
      <c r="C396" t="s">
        <v>1335</v>
      </c>
      <c r="D396" t="s">
        <v>541</v>
      </c>
      <c r="E396">
        <v>1</v>
      </c>
    </row>
    <row r="397" spans="1:5" x14ac:dyDescent="0.35">
      <c r="A397" t="s">
        <v>1336</v>
      </c>
      <c r="B397" t="s">
        <v>1337</v>
      </c>
      <c r="C397" t="s">
        <v>483</v>
      </c>
      <c r="D397" t="s">
        <v>345</v>
      </c>
      <c r="E397">
        <v>1</v>
      </c>
    </row>
    <row r="398" spans="1:5" x14ac:dyDescent="0.35">
      <c r="A398" t="s">
        <v>1338</v>
      </c>
      <c r="B398" t="s">
        <v>1339</v>
      </c>
      <c r="C398" t="s">
        <v>1044</v>
      </c>
      <c r="D398" t="s">
        <v>345</v>
      </c>
      <c r="E398">
        <v>1</v>
      </c>
    </row>
    <row r="399" spans="1:5" x14ac:dyDescent="0.35">
      <c r="A399" t="s">
        <v>1340</v>
      </c>
      <c r="B399" t="s">
        <v>1341</v>
      </c>
      <c r="C399" t="s">
        <v>529</v>
      </c>
      <c r="D399" t="s">
        <v>362</v>
      </c>
      <c r="E399">
        <v>1</v>
      </c>
    </row>
    <row r="400" spans="1:5" x14ac:dyDescent="0.35">
      <c r="A400" t="s">
        <v>1342</v>
      </c>
      <c r="B400" t="s">
        <v>1343</v>
      </c>
      <c r="C400" t="s">
        <v>937</v>
      </c>
      <c r="D400" t="s">
        <v>349</v>
      </c>
      <c r="E400">
        <v>1</v>
      </c>
    </row>
    <row r="401" spans="1:5" x14ac:dyDescent="0.35">
      <c r="A401" t="s">
        <v>1344</v>
      </c>
      <c r="B401" t="s">
        <v>1345</v>
      </c>
      <c r="C401" t="s">
        <v>1196</v>
      </c>
      <c r="D401" t="s">
        <v>123</v>
      </c>
      <c r="E401">
        <v>1</v>
      </c>
    </row>
    <row r="402" spans="1:5" x14ac:dyDescent="0.35">
      <c r="A402" t="s">
        <v>1346</v>
      </c>
      <c r="B402" t="s">
        <v>1347</v>
      </c>
      <c r="C402" t="s">
        <v>955</v>
      </c>
      <c r="D402" t="s">
        <v>668</v>
      </c>
      <c r="E402">
        <v>1</v>
      </c>
    </row>
    <row r="403" spans="1:5" x14ac:dyDescent="0.35">
      <c r="A403" t="s">
        <v>1348</v>
      </c>
      <c r="B403" t="s">
        <v>1349</v>
      </c>
      <c r="C403" t="s">
        <v>1203</v>
      </c>
      <c r="D403" t="s">
        <v>52</v>
      </c>
      <c r="E403">
        <v>1</v>
      </c>
    </row>
    <row r="404" spans="1:5" x14ac:dyDescent="0.35">
      <c r="A404" t="s">
        <v>1350</v>
      </c>
      <c r="B404" t="s">
        <v>1351</v>
      </c>
      <c r="C404" t="s">
        <v>1352</v>
      </c>
      <c r="D404" t="s">
        <v>123</v>
      </c>
      <c r="E404">
        <v>1</v>
      </c>
    </row>
    <row r="405" spans="1:5" x14ac:dyDescent="0.35">
      <c r="A405" t="s">
        <v>1353</v>
      </c>
      <c r="B405" t="s">
        <v>1354</v>
      </c>
      <c r="C405" t="s">
        <v>411</v>
      </c>
      <c r="D405" t="s">
        <v>345</v>
      </c>
      <c r="E405">
        <v>1</v>
      </c>
    </row>
    <row r="406" spans="1:5" x14ac:dyDescent="0.35">
      <c r="A406" t="s">
        <v>1355</v>
      </c>
      <c r="B406" t="s">
        <v>1356</v>
      </c>
      <c r="C406" t="s">
        <v>1357</v>
      </c>
      <c r="D406" t="s">
        <v>211</v>
      </c>
      <c r="E406">
        <v>1</v>
      </c>
    </row>
    <row r="407" spans="1:5" x14ac:dyDescent="0.35">
      <c r="A407" t="s">
        <v>1358</v>
      </c>
      <c r="B407" t="s">
        <v>1359</v>
      </c>
      <c r="C407" t="s">
        <v>1360</v>
      </c>
      <c r="D407" t="s">
        <v>52</v>
      </c>
      <c r="E407">
        <v>1</v>
      </c>
    </row>
    <row r="408" spans="1:5" x14ac:dyDescent="0.35">
      <c r="A408" t="s">
        <v>1361</v>
      </c>
      <c r="B408" t="s">
        <v>1362</v>
      </c>
      <c r="C408" t="s">
        <v>889</v>
      </c>
      <c r="D408" t="s">
        <v>349</v>
      </c>
      <c r="E408">
        <v>1</v>
      </c>
    </row>
    <row r="409" spans="1:5" x14ac:dyDescent="0.35">
      <c r="A409" t="s">
        <v>1363</v>
      </c>
      <c r="B409" t="s">
        <v>1364</v>
      </c>
      <c r="C409" t="s">
        <v>621</v>
      </c>
      <c r="D409" t="s">
        <v>622</v>
      </c>
      <c r="E409">
        <v>1</v>
      </c>
    </row>
    <row r="410" spans="1:5" x14ac:dyDescent="0.35">
      <c r="A410" t="s">
        <v>1365</v>
      </c>
      <c r="B410" t="s">
        <v>1366</v>
      </c>
      <c r="C410" t="s">
        <v>1367</v>
      </c>
      <c r="D410" t="s">
        <v>237</v>
      </c>
      <c r="E410">
        <v>1</v>
      </c>
    </row>
    <row r="411" spans="1:5" x14ac:dyDescent="0.35">
      <c r="A411" t="s">
        <v>1368</v>
      </c>
      <c r="B411" t="s">
        <v>1369</v>
      </c>
      <c r="C411" t="s">
        <v>1370</v>
      </c>
      <c r="D411" t="s">
        <v>52</v>
      </c>
      <c r="E411">
        <v>1</v>
      </c>
    </row>
    <row r="412" spans="1:5" x14ac:dyDescent="0.35">
      <c r="A412" t="s">
        <v>1371</v>
      </c>
      <c r="B412" t="s">
        <v>1372</v>
      </c>
      <c r="C412" t="s">
        <v>1373</v>
      </c>
      <c r="D412" t="s">
        <v>520</v>
      </c>
      <c r="E412">
        <v>1</v>
      </c>
    </row>
    <row r="413" spans="1:5" x14ac:dyDescent="0.35">
      <c r="A413" t="s">
        <v>1374</v>
      </c>
      <c r="B413" t="s">
        <v>1375</v>
      </c>
      <c r="C413" t="s">
        <v>1376</v>
      </c>
      <c r="D413" t="s">
        <v>142</v>
      </c>
      <c r="E413">
        <v>1</v>
      </c>
    </row>
    <row r="414" spans="1:5" x14ac:dyDescent="0.35">
      <c r="A414" t="s">
        <v>1377</v>
      </c>
      <c r="B414" t="s">
        <v>1378</v>
      </c>
      <c r="C414" t="s">
        <v>1379</v>
      </c>
      <c r="D414" t="s">
        <v>1380</v>
      </c>
      <c r="E414">
        <v>1</v>
      </c>
    </row>
    <row r="415" spans="1:5" x14ac:dyDescent="0.35">
      <c r="A415" t="s">
        <v>1381</v>
      </c>
      <c r="B415" t="s">
        <v>1382</v>
      </c>
      <c r="C415" t="s">
        <v>694</v>
      </c>
      <c r="D415" t="s">
        <v>349</v>
      </c>
      <c r="E415">
        <v>1</v>
      </c>
    </row>
    <row r="416" spans="1:5" x14ac:dyDescent="0.35">
      <c r="A416" t="s">
        <v>1383</v>
      </c>
      <c r="B416" t="s">
        <v>1384</v>
      </c>
      <c r="C416" t="s">
        <v>1385</v>
      </c>
      <c r="D416" t="s">
        <v>622</v>
      </c>
      <c r="E416">
        <v>1</v>
      </c>
    </row>
    <row r="417" spans="1:5" x14ac:dyDescent="0.35">
      <c r="A417" t="s">
        <v>1386</v>
      </c>
      <c r="B417" t="s">
        <v>1387</v>
      </c>
      <c r="C417" t="s">
        <v>1232</v>
      </c>
      <c r="D417" t="s">
        <v>211</v>
      </c>
      <c r="E417">
        <v>1</v>
      </c>
    </row>
    <row r="418" spans="1:5" x14ac:dyDescent="0.35">
      <c r="A418" t="s">
        <v>1388</v>
      </c>
      <c r="B418" t="s">
        <v>1389</v>
      </c>
      <c r="C418" t="s">
        <v>971</v>
      </c>
      <c r="D418" t="s">
        <v>52</v>
      </c>
      <c r="E418">
        <v>1</v>
      </c>
    </row>
    <row r="419" spans="1:5" x14ac:dyDescent="0.35">
      <c r="A419" t="s">
        <v>1390</v>
      </c>
      <c r="B419" t="s">
        <v>1391</v>
      </c>
      <c r="C419" t="s">
        <v>921</v>
      </c>
      <c r="D419" t="s">
        <v>345</v>
      </c>
      <c r="E419">
        <v>1</v>
      </c>
    </row>
    <row r="420" spans="1:5" x14ac:dyDescent="0.35">
      <c r="A420" t="s">
        <v>1392</v>
      </c>
      <c r="B420" t="s">
        <v>1393</v>
      </c>
      <c r="C420" t="s">
        <v>1394</v>
      </c>
      <c r="D420" t="s">
        <v>408</v>
      </c>
      <c r="E420">
        <v>1</v>
      </c>
    </row>
    <row r="421" spans="1:5" x14ac:dyDescent="0.35">
      <c r="A421" t="s">
        <v>1395</v>
      </c>
      <c r="B421" t="s">
        <v>1396</v>
      </c>
      <c r="C421" t="s">
        <v>1329</v>
      </c>
      <c r="D421" t="s">
        <v>345</v>
      </c>
      <c r="E421">
        <v>1</v>
      </c>
    </row>
    <row r="422" spans="1:5" x14ac:dyDescent="0.35">
      <c r="A422" t="s">
        <v>1397</v>
      </c>
      <c r="B422" t="s">
        <v>1398</v>
      </c>
      <c r="C422" t="s">
        <v>1399</v>
      </c>
      <c r="D422" t="s">
        <v>211</v>
      </c>
      <c r="E422">
        <v>1</v>
      </c>
    </row>
    <row r="423" spans="1:5" x14ac:dyDescent="0.35">
      <c r="A423" t="s">
        <v>1400</v>
      </c>
      <c r="B423" t="s">
        <v>1401</v>
      </c>
      <c r="C423" t="s">
        <v>771</v>
      </c>
      <c r="D423" t="s">
        <v>366</v>
      </c>
      <c r="E423">
        <v>1</v>
      </c>
    </row>
    <row r="424" spans="1:5" x14ac:dyDescent="0.35">
      <c r="A424" t="s">
        <v>1402</v>
      </c>
      <c r="B424" t="s">
        <v>1403</v>
      </c>
      <c r="C424" t="s">
        <v>514</v>
      </c>
      <c r="D424" t="s">
        <v>345</v>
      </c>
      <c r="E424">
        <v>1</v>
      </c>
    </row>
    <row r="425" spans="1:5" x14ac:dyDescent="0.35">
      <c r="A425" t="s">
        <v>1404</v>
      </c>
      <c r="B425" t="s">
        <v>1405</v>
      </c>
      <c r="C425" t="s">
        <v>774</v>
      </c>
      <c r="D425" t="s">
        <v>366</v>
      </c>
      <c r="E425">
        <v>1</v>
      </c>
    </row>
    <row r="426" spans="1:5" x14ac:dyDescent="0.35">
      <c r="A426" t="s">
        <v>1406</v>
      </c>
      <c r="B426" t="s">
        <v>1407</v>
      </c>
      <c r="C426" t="s">
        <v>514</v>
      </c>
      <c r="D426" t="s">
        <v>345</v>
      </c>
      <c r="E426">
        <v>1</v>
      </c>
    </row>
    <row r="427" spans="1:5" x14ac:dyDescent="0.35">
      <c r="A427" t="s">
        <v>1408</v>
      </c>
      <c r="B427" t="s">
        <v>1409</v>
      </c>
      <c r="C427" t="s">
        <v>1410</v>
      </c>
      <c r="D427" t="s">
        <v>520</v>
      </c>
      <c r="E427">
        <v>1</v>
      </c>
    </row>
    <row r="428" spans="1:5" x14ac:dyDescent="0.35">
      <c r="A428" t="s">
        <v>1411</v>
      </c>
      <c r="B428" t="s">
        <v>1412</v>
      </c>
      <c r="C428" t="s">
        <v>529</v>
      </c>
      <c r="D428" t="s">
        <v>362</v>
      </c>
      <c r="E428">
        <v>1</v>
      </c>
    </row>
    <row r="429" spans="1:5" x14ac:dyDescent="0.35">
      <c r="A429" t="s">
        <v>1413</v>
      </c>
      <c r="B429" t="s">
        <v>1414</v>
      </c>
      <c r="C429" t="s">
        <v>514</v>
      </c>
      <c r="D429" t="s">
        <v>345</v>
      </c>
      <c r="E429">
        <v>1</v>
      </c>
    </row>
    <row r="430" spans="1:5" x14ac:dyDescent="0.35">
      <c r="A430" t="s">
        <v>1415</v>
      </c>
      <c r="B430" t="s">
        <v>1416</v>
      </c>
      <c r="C430" t="s">
        <v>425</v>
      </c>
      <c r="D430" t="s">
        <v>349</v>
      </c>
      <c r="E430">
        <v>1</v>
      </c>
    </row>
    <row r="431" spans="1:5" x14ac:dyDescent="0.35">
      <c r="A431" t="s">
        <v>1417</v>
      </c>
      <c r="B431" t="s">
        <v>1418</v>
      </c>
      <c r="C431" t="s">
        <v>425</v>
      </c>
      <c r="D431" t="s">
        <v>349</v>
      </c>
      <c r="E431">
        <v>1</v>
      </c>
    </row>
    <row r="432" spans="1:5" x14ac:dyDescent="0.35">
      <c r="A432" t="s">
        <v>1419</v>
      </c>
      <c r="B432" t="s">
        <v>1420</v>
      </c>
      <c r="C432" t="s">
        <v>425</v>
      </c>
      <c r="D432" t="s">
        <v>349</v>
      </c>
      <c r="E432">
        <v>1</v>
      </c>
    </row>
    <row r="433" spans="1:5" x14ac:dyDescent="0.35">
      <c r="A433" t="s">
        <v>1421</v>
      </c>
      <c r="B433" t="s">
        <v>1422</v>
      </c>
      <c r="C433" t="s">
        <v>1423</v>
      </c>
      <c r="D433" t="s">
        <v>345</v>
      </c>
      <c r="E433">
        <v>1</v>
      </c>
    </row>
    <row r="434" spans="1:5" x14ac:dyDescent="0.35">
      <c r="A434" t="s">
        <v>1424</v>
      </c>
      <c r="B434" t="s">
        <v>1425</v>
      </c>
      <c r="C434" t="s">
        <v>1426</v>
      </c>
      <c r="D434" t="s">
        <v>395</v>
      </c>
      <c r="E434">
        <v>1</v>
      </c>
    </row>
    <row r="435" spans="1:5" x14ac:dyDescent="0.35">
      <c r="A435" t="s">
        <v>1427</v>
      </c>
      <c r="B435" t="s">
        <v>1428</v>
      </c>
      <c r="C435" t="s">
        <v>889</v>
      </c>
      <c r="D435" t="s">
        <v>349</v>
      </c>
      <c r="E435">
        <v>1</v>
      </c>
    </row>
    <row r="436" spans="1:5" x14ac:dyDescent="0.35">
      <c r="A436" t="s">
        <v>1429</v>
      </c>
      <c r="B436" t="s">
        <v>1430</v>
      </c>
      <c r="C436" t="s">
        <v>352</v>
      </c>
      <c r="D436" t="s">
        <v>429</v>
      </c>
      <c r="E436">
        <v>1</v>
      </c>
    </row>
    <row r="437" spans="1:5" x14ac:dyDescent="0.35">
      <c r="A437" t="s">
        <v>1431</v>
      </c>
      <c r="B437" t="s">
        <v>1432</v>
      </c>
      <c r="C437" t="s">
        <v>659</v>
      </c>
      <c r="D437" t="s">
        <v>158</v>
      </c>
      <c r="E437">
        <v>1</v>
      </c>
    </row>
    <row r="438" spans="1:5" x14ac:dyDescent="0.35">
      <c r="A438" t="s">
        <v>1433</v>
      </c>
      <c r="B438" t="s">
        <v>1434</v>
      </c>
      <c r="C438" t="s">
        <v>483</v>
      </c>
      <c r="D438" t="s">
        <v>345</v>
      </c>
      <c r="E438">
        <v>1</v>
      </c>
    </row>
    <row r="439" spans="1:5" x14ac:dyDescent="0.35">
      <c r="A439" t="s">
        <v>1435</v>
      </c>
      <c r="B439" t="s">
        <v>1436</v>
      </c>
      <c r="C439" t="s">
        <v>514</v>
      </c>
      <c r="D439" t="s">
        <v>345</v>
      </c>
      <c r="E439">
        <v>1</v>
      </c>
    </row>
    <row r="440" spans="1:5" x14ac:dyDescent="0.35">
      <c r="A440" t="s">
        <v>1437</v>
      </c>
      <c r="B440" t="s">
        <v>1438</v>
      </c>
      <c r="C440" t="s">
        <v>1439</v>
      </c>
      <c r="D440" t="s">
        <v>92</v>
      </c>
      <c r="E440">
        <v>1</v>
      </c>
    </row>
    <row r="441" spans="1:5" x14ac:dyDescent="0.35">
      <c r="A441" t="s">
        <v>1440</v>
      </c>
      <c r="B441" t="s">
        <v>1441</v>
      </c>
      <c r="C441" t="s">
        <v>889</v>
      </c>
      <c r="D441" t="s">
        <v>349</v>
      </c>
      <c r="E441">
        <v>1</v>
      </c>
    </row>
    <row r="442" spans="1:5" x14ac:dyDescent="0.35">
      <c r="A442" t="s">
        <v>1442</v>
      </c>
      <c r="B442" t="s">
        <v>1443</v>
      </c>
      <c r="C442" t="s">
        <v>889</v>
      </c>
      <c r="D442" t="s">
        <v>1126</v>
      </c>
      <c r="E442">
        <v>1</v>
      </c>
    </row>
    <row r="443" spans="1:5" x14ac:dyDescent="0.35">
      <c r="A443" t="s">
        <v>1444</v>
      </c>
      <c r="B443" t="s">
        <v>1445</v>
      </c>
      <c r="C443" t="s">
        <v>425</v>
      </c>
      <c r="D443" t="s">
        <v>349</v>
      </c>
      <c r="E443">
        <v>1</v>
      </c>
    </row>
    <row r="444" spans="1:5" x14ac:dyDescent="0.35">
      <c r="A444" t="s">
        <v>1446</v>
      </c>
      <c r="B444" t="s">
        <v>1447</v>
      </c>
      <c r="C444" t="s">
        <v>889</v>
      </c>
      <c r="D444" t="s">
        <v>349</v>
      </c>
      <c r="E444">
        <v>1</v>
      </c>
    </row>
    <row r="445" spans="1:5" x14ac:dyDescent="0.35">
      <c r="A445" t="s">
        <v>1448</v>
      </c>
      <c r="B445" t="s">
        <v>1449</v>
      </c>
      <c r="C445" t="s">
        <v>889</v>
      </c>
      <c r="D445" t="s">
        <v>1126</v>
      </c>
      <c r="E445">
        <v>1</v>
      </c>
    </row>
    <row r="446" spans="1:5" x14ac:dyDescent="0.35">
      <c r="A446" t="s">
        <v>1450</v>
      </c>
      <c r="B446" t="s">
        <v>1451</v>
      </c>
      <c r="C446" t="s">
        <v>1096</v>
      </c>
      <c r="D446" t="s">
        <v>220</v>
      </c>
      <c r="E446">
        <v>1</v>
      </c>
    </row>
    <row r="447" spans="1:5" x14ac:dyDescent="0.35">
      <c r="A447" t="s">
        <v>1452</v>
      </c>
      <c r="B447" t="s">
        <v>1453</v>
      </c>
      <c r="C447" t="s">
        <v>425</v>
      </c>
      <c r="D447" t="s">
        <v>349</v>
      </c>
      <c r="E447">
        <v>1</v>
      </c>
    </row>
    <row r="448" spans="1:5" x14ac:dyDescent="0.35">
      <c r="A448" t="s">
        <v>1454</v>
      </c>
      <c r="B448" t="s">
        <v>1455</v>
      </c>
      <c r="C448" t="s">
        <v>471</v>
      </c>
      <c r="D448" t="s">
        <v>123</v>
      </c>
      <c r="E448">
        <v>1</v>
      </c>
    </row>
    <row r="449" spans="1:5" x14ac:dyDescent="0.35">
      <c r="A449" t="s">
        <v>1456</v>
      </c>
      <c r="B449" t="s">
        <v>1457</v>
      </c>
      <c r="C449" t="s">
        <v>790</v>
      </c>
      <c r="D449" t="s">
        <v>52</v>
      </c>
      <c r="E449">
        <v>1</v>
      </c>
    </row>
    <row r="450" spans="1:5" x14ac:dyDescent="0.35">
      <c r="A450" t="s">
        <v>1458</v>
      </c>
      <c r="B450" t="s">
        <v>1459</v>
      </c>
      <c r="C450" t="s">
        <v>514</v>
      </c>
      <c r="D450" t="s">
        <v>345</v>
      </c>
      <c r="E450">
        <v>1</v>
      </c>
    </row>
    <row r="451" spans="1:5" x14ac:dyDescent="0.35">
      <c r="A451" t="s">
        <v>1460</v>
      </c>
      <c r="B451" t="s">
        <v>1461</v>
      </c>
      <c r="C451" t="s">
        <v>425</v>
      </c>
      <c r="D451" t="s">
        <v>349</v>
      </c>
      <c r="E451">
        <v>1</v>
      </c>
    </row>
    <row r="452" spans="1:5" x14ac:dyDescent="0.35">
      <c r="A452" t="s">
        <v>1462</v>
      </c>
      <c r="B452" t="s">
        <v>1463</v>
      </c>
      <c r="C452" t="s">
        <v>425</v>
      </c>
      <c r="D452" t="s">
        <v>349</v>
      </c>
      <c r="E452">
        <v>1</v>
      </c>
    </row>
    <row r="453" spans="1:5" x14ac:dyDescent="0.35">
      <c r="A453" t="s">
        <v>1464</v>
      </c>
      <c r="B453" t="s">
        <v>1465</v>
      </c>
      <c r="C453" t="s">
        <v>889</v>
      </c>
      <c r="D453" t="s">
        <v>349</v>
      </c>
      <c r="E453">
        <v>1</v>
      </c>
    </row>
    <row r="454" spans="1:5" x14ac:dyDescent="0.35">
      <c r="A454" t="s">
        <v>1466</v>
      </c>
      <c r="B454" t="s">
        <v>1467</v>
      </c>
      <c r="C454" t="s">
        <v>849</v>
      </c>
      <c r="D454" t="s">
        <v>52</v>
      </c>
      <c r="E454">
        <v>1</v>
      </c>
    </row>
    <row r="455" spans="1:5" x14ac:dyDescent="0.35">
      <c r="A455" t="s">
        <v>1468</v>
      </c>
      <c r="B455" t="s">
        <v>1469</v>
      </c>
      <c r="C455" t="s">
        <v>889</v>
      </c>
      <c r="D455" t="s">
        <v>349</v>
      </c>
      <c r="E455">
        <v>1</v>
      </c>
    </row>
    <row r="456" spans="1:5" x14ac:dyDescent="0.35">
      <c r="A456" t="s">
        <v>1470</v>
      </c>
      <c r="B456" t="s">
        <v>1471</v>
      </c>
      <c r="C456" t="s">
        <v>625</v>
      </c>
      <c r="D456" t="s">
        <v>626</v>
      </c>
      <c r="E456">
        <v>1</v>
      </c>
    </row>
    <row r="457" spans="1:5" x14ac:dyDescent="0.35">
      <c r="A457" t="s">
        <v>1472</v>
      </c>
      <c r="B457" t="s">
        <v>1473</v>
      </c>
      <c r="C457" t="s">
        <v>889</v>
      </c>
      <c r="D457" t="s">
        <v>349</v>
      </c>
      <c r="E457">
        <v>1</v>
      </c>
    </row>
    <row r="458" spans="1:5" x14ac:dyDescent="0.35">
      <c r="A458" t="s">
        <v>1474</v>
      </c>
      <c r="B458" t="s">
        <v>1475</v>
      </c>
      <c r="C458" t="s">
        <v>514</v>
      </c>
      <c r="D458" t="s">
        <v>345</v>
      </c>
      <c r="E458">
        <v>1</v>
      </c>
    </row>
    <row r="459" spans="1:5" x14ac:dyDescent="0.35">
      <c r="A459" t="s">
        <v>1476</v>
      </c>
      <c r="B459" t="s">
        <v>1477</v>
      </c>
      <c r="C459" t="s">
        <v>625</v>
      </c>
      <c r="D459" t="s">
        <v>626</v>
      </c>
      <c r="E459">
        <v>1</v>
      </c>
    </row>
    <row r="460" spans="1:5" x14ac:dyDescent="0.35">
      <c r="A460" t="s">
        <v>1478</v>
      </c>
      <c r="B460" t="s">
        <v>1479</v>
      </c>
      <c r="C460" t="s">
        <v>1480</v>
      </c>
      <c r="D460" t="s">
        <v>376</v>
      </c>
      <c r="E460">
        <v>1</v>
      </c>
    </row>
    <row r="461" spans="1:5" x14ac:dyDescent="0.35">
      <c r="A461" t="s">
        <v>1481</v>
      </c>
      <c r="B461" t="s">
        <v>1482</v>
      </c>
      <c r="C461" t="s">
        <v>344</v>
      </c>
      <c r="D461" t="s">
        <v>345</v>
      </c>
      <c r="E461">
        <v>1</v>
      </c>
    </row>
    <row r="462" spans="1:5" x14ac:dyDescent="0.35">
      <c r="A462" t="s">
        <v>1483</v>
      </c>
      <c r="B462" t="s">
        <v>1484</v>
      </c>
      <c r="C462" t="s">
        <v>905</v>
      </c>
      <c r="D462" t="s">
        <v>541</v>
      </c>
      <c r="E462">
        <v>1</v>
      </c>
    </row>
    <row r="463" spans="1:5" x14ac:dyDescent="0.35">
      <c r="A463" t="s">
        <v>1485</v>
      </c>
      <c r="B463" t="s">
        <v>1486</v>
      </c>
      <c r="C463" t="s">
        <v>940</v>
      </c>
      <c r="D463" t="s">
        <v>520</v>
      </c>
      <c r="E463">
        <v>1</v>
      </c>
    </row>
    <row r="464" spans="1:5" x14ac:dyDescent="0.35">
      <c r="A464" t="s">
        <v>1487</v>
      </c>
      <c r="B464" t="s">
        <v>1488</v>
      </c>
      <c r="C464" t="s">
        <v>1489</v>
      </c>
      <c r="D464" t="s">
        <v>345</v>
      </c>
      <c r="E464">
        <v>1</v>
      </c>
    </row>
    <row r="465" spans="1:5" x14ac:dyDescent="0.35">
      <c r="A465" t="s">
        <v>1490</v>
      </c>
      <c r="B465" t="s">
        <v>1491</v>
      </c>
      <c r="C465" t="s">
        <v>826</v>
      </c>
      <c r="D465" t="s">
        <v>520</v>
      </c>
      <c r="E465">
        <v>1</v>
      </c>
    </row>
    <row r="466" spans="1:5" x14ac:dyDescent="0.35">
      <c r="A466" t="s">
        <v>1492</v>
      </c>
      <c r="B466" t="s">
        <v>1493</v>
      </c>
      <c r="C466" t="s">
        <v>961</v>
      </c>
      <c r="D466" t="s">
        <v>1494</v>
      </c>
      <c r="E466">
        <v>1</v>
      </c>
    </row>
    <row r="467" spans="1:5" x14ac:dyDescent="0.35">
      <c r="A467" t="s">
        <v>1495</v>
      </c>
      <c r="B467" t="s">
        <v>1496</v>
      </c>
      <c r="C467" t="s">
        <v>1497</v>
      </c>
      <c r="D467" t="s">
        <v>111</v>
      </c>
      <c r="E467">
        <v>1</v>
      </c>
    </row>
    <row r="468" spans="1:5" x14ac:dyDescent="0.35">
      <c r="A468" t="s">
        <v>1498</v>
      </c>
      <c r="B468" t="s">
        <v>1499</v>
      </c>
      <c r="C468" t="s">
        <v>1500</v>
      </c>
      <c r="D468" t="s">
        <v>541</v>
      </c>
      <c r="E468">
        <v>1</v>
      </c>
    </row>
    <row r="469" spans="1:5" x14ac:dyDescent="0.35">
      <c r="A469" t="s">
        <v>1501</v>
      </c>
      <c r="B469" t="s">
        <v>1502</v>
      </c>
      <c r="C469" t="s">
        <v>908</v>
      </c>
      <c r="D469" t="s">
        <v>237</v>
      </c>
      <c r="E469">
        <v>1</v>
      </c>
    </row>
    <row r="470" spans="1:5" x14ac:dyDescent="0.35">
      <c r="A470" t="s">
        <v>1503</v>
      </c>
      <c r="B470" t="s">
        <v>1504</v>
      </c>
      <c r="C470" t="s">
        <v>1505</v>
      </c>
      <c r="D470" t="s">
        <v>111</v>
      </c>
      <c r="E470">
        <v>1</v>
      </c>
    </row>
    <row r="471" spans="1:5" x14ac:dyDescent="0.35">
      <c r="A471" t="s">
        <v>1506</v>
      </c>
      <c r="B471" t="s">
        <v>1507</v>
      </c>
      <c r="C471" t="s">
        <v>1508</v>
      </c>
      <c r="D471" t="s">
        <v>84</v>
      </c>
      <c r="E471">
        <v>1</v>
      </c>
    </row>
    <row r="472" spans="1:5" x14ac:dyDescent="0.35">
      <c r="A472" t="s">
        <v>1509</v>
      </c>
      <c r="B472" t="s">
        <v>1510</v>
      </c>
      <c r="C472" t="s">
        <v>1511</v>
      </c>
      <c r="D472" t="s">
        <v>111</v>
      </c>
      <c r="E472">
        <v>1</v>
      </c>
    </row>
    <row r="473" spans="1:5" x14ac:dyDescent="0.35">
      <c r="A473" t="s">
        <v>1512</v>
      </c>
      <c r="B473" t="s">
        <v>1513</v>
      </c>
      <c r="C473" t="s">
        <v>1514</v>
      </c>
      <c r="D473" t="s">
        <v>345</v>
      </c>
      <c r="E473">
        <v>1</v>
      </c>
    </row>
    <row r="474" spans="1:5" x14ac:dyDescent="0.35">
      <c r="A474" t="s">
        <v>1515</v>
      </c>
      <c r="B474" t="s">
        <v>1516</v>
      </c>
      <c r="C474" t="s">
        <v>1517</v>
      </c>
      <c r="D474" t="s">
        <v>349</v>
      </c>
      <c r="E474">
        <v>1</v>
      </c>
    </row>
    <row r="475" spans="1:5" x14ac:dyDescent="0.35">
      <c r="A475" t="s">
        <v>1518</v>
      </c>
      <c r="B475" t="s">
        <v>1519</v>
      </c>
      <c r="C475" t="s">
        <v>432</v>
      </c>
      <c r="D475" t="s">
        <v>52</v>
      </c>
      <c r="E475">
        <v>1</v>
      </c>
    </row>
    <row r="476" spans="1:5" x14ac:dyDescent="0.35">
      <c r="A476" t="s">
        <v>1520</v>
      </c>
      <c r="B476" t="s">
        <v>1521</v>
      </c>
      <c r="C476" t="s">
        <v>940</v>
      </c>
      <c r="D476" t="s">
        <v>1522</v>
      </c>
      <c r="E476">
        <v>1</v>
      </c>
    </row>
    <row r="477" spans="1:5" x14ac:dyDescent="0.35">
      <c r="A477" t="s">
        <v>1523</v>
      </c>
      <c r="B477" t="s">
        <v>1524</v>
      </c>
      <c r="C477" t="s">
        <v>1525</v>
      </c>
      <c r="D477" t="s">
        <v>72</v>
      </c>
      <c r="E477">
        <v>1</v>
      </c>
    </row>
    <row r="478" spans="1:5" x14ac:dyDescent="0.35">
      <c r="A478" t="s">
        <v>1526</v>
      </c>
      <c r="B478" t="s">
        <v>1527</v>
      </c>
      <c r="C478" t="s">
        <v>529</v>
      </c>
      <c r="D478" t="s">
        <v>362</v>
      </c>
      <c r="E478">
        <v>1</v>
      </c>
    </row>
    <row r="479" spans="1:5" x14ac:dyDescent="0.35">
      <c r="A479" t="s">
        <v>1528</v>
      </c>
      <c r="B479" t="s">
        <v>1529</v>
      </c>
      <c r="C479" t="s">
        <v>1530</v>
      </c>
      <c r="D479" t="s">
        <v>84</v>
      </c>
      <c r="E479">
        <v>1</v>
      </c>
    </row>
    <row r="480" spans="1:5" x14ac:dyDescent="0.35">
      <c r="A480" t="s">
        <v>1531</v>
      </c>
      <c r="B480" t="s">
        <v>1532</v>
      </c>
      <c r="C480" t="s">
        <v>529</v>
      </c>
      <c r="D480" t="s">
        <v>362</v>
      </c>
      <c r="E480">
        <v>1</v>
      </c>
    </row>
    <row r="481" spans="1:5" x14ac:dyDescent="0.35">
      <c r="A481" t="s">
        <v>1533</v>
      </c>
      <c r="B481" t="s">
        <v>1534</v>
      </c>
      <c r="C481" t="s">
        <v>1535</v>
      </c>
      <c r="D481" t="s">
        <v>541</v>
      </c>
      <c r="E481">
        <v>1</v>
      </c>
    </row>
    <row r="482" spans="1:5" x14ac:dyDescent="0.35">
      <c r="A482" t="s">
        <v>1536</v>
      </c>
      <c r="B482" t="s">
        <v>1537</v>
      </c>
      <c r="C482" t="s">
        <v>483</v>
      </c>
      <c r="D482" t="s">
        <v>345</v>
      </c>
      <c r="E482">
        <v>1</v>
      </c>
    </row>
    <row r="483" spans="1:5" x14ac:dyDescent="0.35">
      <c r="A483" t="s">
        <v>1538</v>
      </c>
      <c r="B483" t="s">
        <v>1539</v>
      </c>
      <c r="C483" t="s">
        <v>937</v>
      </c>
      <c r="D483" t="s">
        <v>349</v>
      </c>
      <c r="E483">
        <v>1</v>
      </c>
    </row>
    <row r="484" spans="1:5" x14ac:dyDescent="0.35">
      <c r="A484" t="s">
        <v>1540</v>
      </c>
      <c r="B484" t="s">
        <v>1541</v>
      </c>
      <c r="C484" t="s">
        <v>1542</v>
      </c>
      <c r="D484" t="s">
        <v>376</v>
      </c>
      <c r="E484">
        <v>1</v>
      </c>
    </row>
    <row r="485" spans="1:5" x14ac:dyDescent="0.35">
      <c r="A485" t="s">
        <v>1543</v>
      </c>
      <c r="B485" t="s">
        <v>1544</v>
      </c>
      <c r="C485" t="s">
        <v>1545</v>
      </c>
      <c r="D485" t="s">
        <v>1522</v>
      </c>
      <c r="E485">
        <v>1</v>
      </c>
    </row>
    <row r="486" spans="1:5" x14ac:dyDescent="0.35">
      <c r="A486" t="s">
        <v>1546</v>
      </c>
      <c r="B486" t="s">
        <v>1547</v>
      </c>
      <c r="C486" t="s">
        <v>1548</v>
      </c>
      <c r="D486" t="s">
        <v>741</v>
      </c>
      <c r="E486">
        <v>1</v>
      </c>
    </row>
    <row r="487" spans="1:5" x14ac:dyDescent="0.35">
      <c r="A487" t="s">
        <v>1549</v>
      </c>
      <c r="B487" t="s">
        <v>1550</v>
      </c>
      <c r="C487" t="s">
        <v>940</v>
      </c>
      <c r="D487" t="s">
        <v>520</v>
      </c>
      <c r="E487">
        <v>1</v>
      </c>
    </row>
    <row r="488" spans="1:5" x14ac:dyDescent="0.35">
      <c r="A488" t="s">
        <v>1551</v>
      </c>
      <c r="B488" t="s">
        <v>1552</v>
      </c>
      <c r="C488" t="s">
        <v>1553</v>
      </c>
      <c r="D488" t="s">
        <v>520</v>
      </c>
      <c r="E488">
        <v>1</v>
      </c>
    </row>
    <row r="489" spans="1:5" x14ac:dyDescent="0.35">
      <c r="A489" t="s">
        <v>1554</v>
      </c>
      <c r="B489" t="s">
        <v>1555</v>
      </c>
      <c r="C489" t="s">
        <v>940</v>
      </c>
      <c r="D489" t="s">
        <v>520</v>
      </c>
      <c r="E489">
        <v>1</v>
      </c>
    </row>
    <row r="490" spans="1:5" x14ac:dyDescent="0.35">
      <c r="A490" t="s">
        <v>1556</v>
      </c>
      <c r="B490" t="s">
        <v>1557</v>
      </c>
      <c r="C490" t="s">
        <v>1558</v>
      </c>
      <c r="D490" t="s">
        <v>622</v>
      </c>
      <c r="E490">
        <v>1</v>
      </c>
    </row>
    <row r="491" spans="1:5" x14ac:dyDescent="0.35">
      <c r="A491" t="s">
        <v>1559</v>
      </c>
      <c r="B491" t="s">
        <v>1560</v>
      </c>
      <c r="C491" t="s">
        <v>1553</v>
      </c>
      <c r="D491" t="s">
        <v>520</v>
      </c>
      <c r="E491">
        <v>1</v>
      </c>
    </row>
    <row r="492" spans="1:5" x14ac:dyDescent="0.35">
      <c r="A492" t="s">
        <v>1561</v>
      </c>
      <c r="B492" t="s">
        <v>1562</v>
      </c>
      <c r="C492" t="s">
        <v>1563</v>
      </c>
      <c r="D492" t="s">
        <v>237</v>
      </c>
      <c r="E492">
        <v>1</v>
      </c>
    </row>
    <row r="493" spans="1:5" x14ac:dyDescent="0.35">
      <c r="A493" t="s">
        <v>1564</v>
      </c>
      <c r="B493" t="s">
        <v>1565</v>
      </c>
      <c r="C493" t="s">
        <v>921</v>
      </c>
      <c r="D493" t="s">
        <v>345</v>
      </c>
      <c r="E493">
        <v>1</v>
      </c>
    </row>
    <row r="494" spans="1:5" x14ac:dyDescent="0.35">
      <c r="A494" t="s">
        <v>1566</v>
      </c>
      <c r="B494" t="s">
        <v>1567</v>
      </c>
      <c r="C494" t="s">
        <v>488</v>
      </c>
      <c r="D494" t="s">
        <v>626</v>
      </c>
      <c r="E494">
        <v>1</v>
      </c>
    </row>
    <row r="495" spans="1:5" x14ac:dyDescent="0.35">
      <c r="A495" t="s">
        <v>1568</v>
      </c>
      <c r="B495" t="s">
        <v>1569</v>
      </c>
      <c r="C495" t="s">
        <v>937</v>
      </c>
      <c r="D495" t="s">
        <v>349</v>
      </c>
      <c r="E495">
        <v>1</v>
      </c>
    </row>
    <row r="496" spans="1:5" x14ac:dyDescent="0.35">
      <c r="A496" t="s">
        <v>1570</v>
      </c>
      <c r="B496" t="s">
        <v>1571</v>
      </c>
      <c r="C496" t="s">
        <v>1572</v>
      </c>
      <c r="D496" t="s">
        <v>111</v>
      </c>
      <c r="E496">
        <v>1</v>
      </c>
    </row>
    <row r="497" spans="1:5" x14ac:dyDescent="0.35">
      <c r="A497" t="s">
        <v>1573</v>
      </c>
      <c r="B497" t="s">
        <v>1574</v>
      </c>
      <c r="C497" t="s">
        <v>514</v>
      </c>
      <c r="D497" t="s">
        <v>345</v>
      </c>
      <c r="E497">
        <v>1</v>
      </c>
    </row>
    <row r="498" spans="1:5" x14ac:dyDescent="0.35">
      <c r="A498" t="s">
        <v>1575</v>
      </c>
      <c r="B498" t="s">
        <v>1576</v>
      </c>
      <c r="C498" t="s">
        <v>1577</v>
      </c>
      <c r="D498" t="s">
        <v>111</v>
      </c>
      <c r="E498">
        <v>1</v>
      </c>
    </row>
    <row r="499" spans="1:5" x14ac:dyDescent="0.35">
      <c r="A499" t="s">
        <v>1578</v>
      </c>
      <c r="B499" t="s">
        <v>1579</v>
      </c>
      <c r="C499" t="s">
        <v>1329</v>
      </c>
      <c r="D499" t="s">
        <v>345</v>
      </c>
      <c r="E499">
        <v>1</v>
      </c>
    </row>
    <row r="500" spans="1:5" x14ac:dyDescent="0.35">
      <c r="A500" t="s">
        <v>1580</v>
      </c>
      <c r="B500" t="s">
        <v>1581</v>
      </c>
      <c r="C500" t="s">
        <v>971</v>
      </c>
      <c r="D500" t="s">
        <v>52</v>
      </c>
      <c r="E500">
        <v>1</v>
      </c>
    </row>
    <row r="501" spans="1:5" x14ac:dyDescent="0.35">
      <c r="A501" t="s">
        <v>1582</v>
      </c>
      <c r="B501" t="s">
        <v>1583</v>
      </c>
      <c r="C501" t="s">
        <v>1584</v>
      </c>
      <c r="D501" t="s">
        <v>395</v>
      </c>
      <c r="E501">
        <v>1</v>
      </c>
    </row>
    <row r="502" spans="1:5" x14ac:dyDescent="0.35">
      <c r="A502" t="s">
        <v>1585</v>
      </c>
      <c r="B502" t="s">
        <v>1586</v>
      </c>
      <c r="C502" t="s">
        <v>1587</v>
      </c>
      <c r="D502" t="s">
        <v>220</v>
      </c>
      <c r="E502">
        <v>1</v>
      </c>
    </row>
    <row r="503" spans="1:5" x14ac:dyDescent="0.35">
      <c r="A503" t="s">
        <v>1588</v>
      </c>
      <c r="B503" t="s">
        <v>1589</v>
      </c>
      <c r="C503" t="s">
        <v>790</v>
      </c>
      <c r="D503" t="s">
        <v>52</v>
      </c>
      <c r="E503">
        <v>1</v>
      </c>
    </row>
    <row r="504" spans="1:5" x14ac:dyDescent="0.35">
      <c r="A504" t="s">
        <v>1590</v>
      </c>
      <c r="B504" t="s">
        <v>1591</v>
      </c>
      <c r="C504" t="s">
        <v>534</v>
      </c>
      <c r="D504" t="s">
        <v>429</v>
      </c>
      <c r="E504">
        <v>1</v>
      </c>
    </row>
    <row r="505" spans="1:5" x14ac:dyDescent="0.35">
      <c r="A505" t="s">
        <v>1592</v>
      </c>
      <c r="B505" t="s">
        <v>1593</v>
      </c>
      <c r="C505" t="s">
        <v>1594</v>
      </c>
      <c r="D505" t="s">
        <v>362</v>
      </c>
      <c r="E505">
        <v>1</v>
      </c>
    </row>
    <row r="506" spans="1:5" x14ac:dyDescent="0.35">
      <c r="A506" t="s">
        <v>1595</v>
      </c>
      <c r="B506" t="s">
        <v>1596</v>
      </c>
      <c r="C506" t="s">
        <v>889</v>
      </c>
      <c r="D506" t="s">
        <v>349</v>
      </c>
      <c r="E506">
        <v>1</v>
      </c>
    </row>
    <row r="507" spans="1:5" x14ac:dyDescent="0.35">
      <c r="A507" t="s">
        <v>1597</v>
      </c>
      <c r="B507" t="s">
        <v>1598</v>
      </c>
      <c r="C507" t="s">
        <v>937</v>
      </c>
      <c r="D507" t="s">
        <v>349</v>
      </c>
      <c r="E507">
        <v>1</v>
      </c>
    </row>
    <row r="508" spans="1:5" x14ac:dyDescent="0.35">
      <c r="A508" t="s">
        <v>1599</v>
      </c>
      <c r="B508" t="s">
        <v>1600</v>
      </c>
      <c r="C508" t="s">
        <v>937</v>
      </c>
      <c r="D508" t="s">
        <v>349</v>
      </c>
      <c r="E508">
        <v>1</v>
      </c>
    </row>
    <row r="509" spans="1:5" x14ac:dyDescent="0.35">
      <c r="A509" t="s">
        <v>1601</v>
      </c>
      <c r="B509" t="s">
        <v>1602</v>
      </c>
      <c r="C509" t="s">
        <v>1357</v>
      </c>
      <c r="D509" t="s">
        <v>211</v>
      </c>
      <c r="E509">
        <v>1</v>
      </c>
    </row>
    <row r="510" spans="1:5" x14ac:dyDescent="0.35">
      <c r="A510" t="s">
        <v>1603</v>
      </c>
      <c r="B510" t="s">
        <v>1604</v>
      </c>
      <c r="C510" t="s">
        <v>1605</v>
      </c>
      <c r="D510" t="s">
        <v>362</v>
      </c>
      <c r="E510">
        <v>1</v>
      </c>
    </row>
    <row r="511" spans="1:5" x14ac:dyDescent="0.35">
      <c r="A511" t="s">
        <v>1606</v>
      </c>
      <c r="B511" t="s">
        <v>1607</v>
      </c>
      <c r="C511" t="s">
        <v>1587</v>
      </c>
      <c r="D511" t="s">
        <v>220</v>
      </c>
      <c r="E511">
        <v>1</v>
      </c>
    </row>
    <row r="512" spans="1:5" x14ac:dyDescent="0.35">
      <c r="A512" t="s">
        <v>1608</v>
      </c>
      <c r="B512" t="s">
        <v>1609</v>
      </c>
      <c r="C512" t="s">
        <v>474</v>
      </c>
      <c r="D512" t="s">
        <v>362</v>
      </c>
      <c r="E512">
        <v>1</v>
      </c>
    </row>
    <row r="513" spans="1:5" x14ac:dyDescent="0.35">
      <c r="A513" t="s">
        <v>1610</v>
      </c>
      <c r="B513" t="s">
        <v>1611</v>
      </c>
      <c r="C513" t="s">
        <v>958</v>
      </c>
      <c r="D513" t="s">
        <v>52</v>
      </c>
      <c r="E513">
        <v>1</v>
      </c>
    </row>
    <row r="514" spans="1:5" x14ac:dyDescent="0.35">
      <c r="A514" t="s">
        <v>1612</v>
      </c>
      <c r="B514" t="s">
        <v>1613</v>
      </c>
      <c r="C514" t="s">
        <v>474</v>
      </c>
      <c r="D514" t="s">
        <v>362</v>
      </c>
      <c r="E514">
        <v>1</v>
      </c>
    </row>
    <row r="515" spans="1:5" x14ac:dyDescent="0.35">
      <c r="A515" t="s">
        <v>1614</v>
      </c>
      <c r="B515" t="s">
        <v>1615</v>
      </c>
      <c r="C515" t="s">
        <v>889</v>
      </c>
      <c r="D515" t="s">
        <v>349</v>
      </c>
      <c r="E515">
        <v>1</v>
      </c>
    </row>
    <row r="516" spans="1:5" x14ac:dyDescent="0.35">
      <c r="A516" t="s">
        <v>1616</v>
      </c>
      <c r="B516" t="s">
        <v>1617</v>
      </c>
      <c r="C516" t="s">
        <v>766</v>
      </c>
      <c r="D516" t="s">
        <v>429</v>
      </c>
      <c r="E516">
        <v>1</v>
      </c>
    </row>
    <row r="517" spans="1:5" x14ac:dyDescent="0.35">
      <c r="A517" t="s">
        <v>1618</v>
      </c>
      <c r="B517" t="s">
        <v>1619</v>
      </c>
      <c r="C517" t="s">
        <v>1620</v>
      </c>
      <c r="D517" t="s">
        <v>1180</v>
      </c>
      <c r="E517">
        <v>1</v>
      </c>
    </row>
    <row r="518" spans="1:5" x14ac:dyDescent="0.35">
      <c r="A518" t="s">
        <v>1621</v>
      </c>
      <c r="B518" t="s">
        <v>1622</v>
      </c>
      <c r="C518" t="s">
        <v>488</v>
      </c>
      <c r="D518" t="s">
        <v>626</v>
      </c>
      <c r="E518">
        <v>1</v>
      </c>
    </row>
    <row r="519" spans="1:5" x14ac:dyDescent="0.35">
      <c r="A519" t="s">
        <v>1623</v>
      </c>
      <c r="B519" t="s">
        <v>1624</v>
      </c>
      <c r="C519" t="s">
        <v>1625</v>
      </c>
      <c r="D519" t="s">
        <v>541</v>
      </c>
      <c r="E519">
        <v>1</v>
      </c>
    </row>
    <row r="520" spans="1:5" x14ac:dyDescent="0.35">
      <c r="A520" t="s">
        <v>1626</v>
      </c>
      <c r="B520" t="s">
        <v>1627</v>
      </c>
      <c r="C520" t="s">
        <v>488</v>
      </c>
      <c r="D520" t="s">
        <v>626</v>
      </c>
      <c r="E520">
        <v>1</v>
      </c>
    </row>
    <row r="521" spans="1:5" x14ac:dyDescent="0.35">
      <c r="A521" t="s">
        <v>1628</v>
      </c>
      <c r="B521" t="s">
        <v>1629</v>
      </c>
      <c r="C521" t="s">
        <v>1553</v>
      </c>
      <c r="D521" t="s">
        <v>520</v>
      </c>
      <c r="E521">
        <v>1</v>
      </c>
    </row>
    <row r="522" spans="1:5" x14ac:dyDescent="0.35">
      <c r="A522" t="s">
        <v>1630</v>
      </c>
      <c r="B522" t="s">
        <v>1631</v>
      </c>
      <c r="C522" t="s">
        <v>534</v>
      </c>
      <c r="D522" t="s">
        <v>429</v>
      </c>
      <c r="E522">
        <v>1</v>
      </c>
    </row>
    <row r="523" spans="1:5" x14ac:dyDescent="0.35">
      <c r="A523" t="s">
        <v>1632</v>
      </c>
      <c r="B523" t="s">
        <v>1633</v>
      </c>
      <c r="C523" t="s">
        <v>889</v>
      </c>
      <c r="D523" t="s">
        <v>349</v>
      </c>
      <c r="E523">
        <v>1</v>
      </c>
    </row>
    <row r="524" spans="1:5" x14ac:dyDescent="0.35">
      <c r="A524" t="s">
        <v>1634</v>
      </c>
      <c r="B524" t="s">
        <v>1635</v>
      </c>
      <c r="C524" t="s">
        <v>889</v>
      </c>
      <c r="D524" t="s">
        <v>349</v>
      </c>
      <c r="E524">
        <v>1</v>
      </c>
    </row>
    <row r="525" spans="1:5" x14ac:dyDescent="0.35">
      <c r="A525" t="s">
        <v>1636</v>
      </c>
      <c r="B525" t="s">
        <v>1637</v>
      </c>
      <c r="C525" t="s">
        <v>625</v>
      </c>
      <c r="D525" t="s">
        <v>489</v>
      </c>
      <c r="E525">
        <v>1</v>
      </c>
    </row>
    <row r="526" spans="1:5" x14ac:dyDescent="0.35">
      <c r="A526" t="s">
        <v>1638</v>
      </c>
      <c r="B526" t="s">
        <v>1639</v>
      </c>
      <c r="C526" t="s">
        <v>889</v>
      </c>
      <c r="D526" t="s">
        <v>349</v>
      </c>
      <c r="E526">
        <v>1</v>
      </c>
    </row>
    <row r="527" spans="1:5" x14ac:dyDescent="0.35">
      <c r="A527" t="s">
        <v>1640</v>
      </c>
      <c r="B527" t="s">
        <v>1641</v>
      </c>
      <c r="C527" t="s">
        <v>688</v>
      </c>
      <c r="D527" t="s">
        <v>541</v>
      </c>
      <c r="E527">
        <v>1</v>
      </c>
    </row>
    <row r="528" spans="1:5" x14ac:dyDescent="0.35">
      <c r="A528" t="s">
        <v>1642</v>
      </c>
      <c r="B528" t="s">
        <v>1643</v>
      </c>
      <c r="C528" t="s">
        <v>1644</v>
      </c>
      <c r="D528" t="s">
        <v>178</v>
      </c>
      <c r="E528">
        <v>1</v>
      </c>
    </row>
    <row r="529" spans="1:5" x14ac:dyDescent="0.35">
      <c r="A529" t="s">
        <v>1645</v>
      </c>
      <c r="B529" t="s">
        <v>1646</v>
      </c>
      <c r="C529" t="s">
        <v>1357</v>
      </c>
      <c r="D529" t="s">
        <v>211</v>
      </c>
      <c r="E529">
        <v>1</v>
      </c>
    </row>
    <row r="530" spans="1:5" x14ac:dyDescent="0.35">
      <c r="A530" t="s">
        <v>1647</v>
      </c>
      <c r="B530" t="s">
        <v>1648</v>
      </c>
      <c r="C530" t="s">
        <v>514</v>
      </c>
      <c r="D530" t="s">
        <v>345</v>
      </c>
      <c r="E530">
        <v>1</v>
      </c>
    </row>
    <row r="531" spans="1:5" x14ac:dyDescent="0.35">
      <c r="A531" t="s">
        <v>1649</v>
      </c>
      <c r="B531" t="s">
        <v>1650</v>
      </c>
      <c r="C531" t="s">
        <v>1357</v>
      </c>
      <c r="D531" t="s">
        <v>211</v>
      </c>
      <c r="E531">
        <v>1</v>
      </c>
    </row>
    <row r="532" spans="1:5" x14ac:dyDescent="0.35">
      <c r="A532" t="s">
        <v>1651</v>
      </c>
      <c r="B532" t="s">
        <v>1652</v>
      </c>
      <c r="C532" t="s">
        <v>471</v>
      </c>
      <c r="D532" t="s">
        <v>123</v>
      </c>
      <c r="E532">
        <v>1</v>
      </c>
    </row>
    <row r="533" spans="1:5" x14ac:dyDescent="0.35">
      <c r="A533" t="s">
        <v>1653</v>
      </c>
      <c r="B533" t="s">
        <v>1654</v>
      </c>
      <c r="C533" t="s">
        <v>937</v>
      </c>
      <c r="D533" t="s">
        <v>349</v>
      </c>
      <c r="E533">
        <v>1</v>
      </c>
    </row>
    <row r="534" spans="1:5" x14ac:dyDescent="0.35">
      <c r="A534" t="s">
        <v>1655</v>
      </c>
      <c r="B534" t="s">
        <v>1656</v>
      </c>
      <c r="C534" t="s">
        <v>634</v>
      </c>
      <c r="D534" t="s">
        <v>541</v>
      </c>
      <c r="E534">
        <v>1</v>
      </c>
    </row>
    <row r="535" spans="1:5" x14ac:dyDescent="0.35">
      <c r="A535" t="s">
        <v>1657</v>
      </c>
      <c r="B535" t="s">
        <v>1658</v>
      </c>
      <c r="C535" t="s">
        <v>937</v>
      </c>
      <c r="D535" t="s">
        <v>349</v>
      </c>
      <c r="E535">
        <v>1</v>
      </c>
    </row>
    <row r="536" spans="1:5" x14ac:dyDescent="0.35">
      <c r="A536" t="s">
        <v>1659</v>
      </c>
      <c r="B536" t="s">
        <v>1660</v>
      </c>
      <c r="C536" t="s">
        <v>1517</v>
      </c>
      <c r="D536" t="s">
        <v>349</v>
      </c>
      <c r="E536">
        <v>1</v>
      </c>
    </row>
    <row r="537" spans="1:5" x14ac:dyDescent="0.35">
      <c r="A537" t="s">
        <v>1661</v>
      </c>
      <c r="B537" t="s">
        <v>1662</v>
      </c>
      <c r="C537" t="s">
        <v>514</v>
      </c>
      <c r="D537" t="s">
        <v>345</v>
      </c>
      <c r="E537">
        <v>1</v>
      </c>
    </row>
    <row r="538" spans="1:5" x14ac:dyDescent="0.35">
      <c r="A538" t="s">
        <v>1663</v>
      </c>
      <c r="B538" t="s">
        <v>1664</v>
      </c>
      <c r="C538" t="s">
        <v>1329</v>
      </c>
      <c r="D538" t="s">
        <v>345</v>
      </c>
      <c r="E538">
        <v>1</v>
      </c>
    </row>
    <row r="539" spans="1:5" x14ac:dyDescent="0.35">
      <c r="A539" t="s">
        <v>1665</v>
      </c>
      <c r="B539" t="s">
        <v>1666</v>
      </c>
      <c r="C539" t="s">
        <v>474</v>
      </c>
      <c r="D539" t="s">
        <v>1180</v>
      </c>
      <c r="E539">
        <v>1</v>
      </c>
    </row>
    <row r="540" spans="1:5" x14ac:dyDescent="0.35">
      <c r="A540" t="s">
        <v>1667</v>
      </c>
      <c r="B540" t="s">
        <v>1668</v>
      </c>
      <c r="C540" t="s">
        <v>1367</v>
      </c>
      <c r="D540" t="s">
        <v>237</v>
      </c>
      <c r="E540">
        <v>1</v>
      </c>
    </row>
    <row r="541" spans="1:5" x14ac:dyDescent="0.35">
      <c r="A541" t="s">
        <v>1669</v>
      </c>
      <c r="B541" t="s">
        <v>1670</v>
      </c>
      <c r="C541" t="s">
        <v>849</v>
      </c>
      <c r="D541" t="s">
        <v>52</v>
      </c>
      <c r="E541">
        <v>1</v>
      </c>
    </row>
    <row r="542" spans="1:5" x14ac:dyDescent="0.35">
      <c r="A542" t="s">
        <v>1671</v>
      </c>
      <c r="B542" t="s">
        <v>1672</v>
      </c>
      <c r="C542" t="s">
        <v>889</v>
      </c>
      <c r="D542" t="s">
        <v>349</v>
      </c>
      <c r="E542">
        <v>1</v>
      </c>
    </row>
    <row r="543" spans="1:5" x14ac:dyDescent="0.35">
      <c r="A543" t="s">
        <v>1673</v>
      </c>
      <c r="B543" t="s">
        <v>1674</v>
      </c>
      <c r="C543" t="s">
        <v>529</v>
      </c>
      <c r="D543" t="s">
        <v>362</v>
      </c>
      <c r="E543">
        <v>1</v>
      </c>
    </row>
    <row r="544" spans="1:5" x14ac:dyDescent="0.35">
      <c r="A544" t="s">
        <v>1675</v>
      </c>
      <c r="B544" t="s">
        <v>1676</v>
      </c>
      <c r="C544" t="s">
        <v>1677</v>
      </c>
      <c r="D544" t="s">
        <v>376</v>
      </c>
      <c r="E544">
        <v>1</v>
      </c>
    </row>
    <row r="545" spans="1:5" x14ac:dyDescent="0.35">
      <c r="A545" t="s">
        <v>1678</v>
      </c>
      <c r="B545" t="s">
        <v>1679</v>
      </c>
      <c r="C545" t="s">
        <v>1680</v>
      </c>
      <c r="D545" t="s">
        <v>1681</v>
      </c>
      <c r="E545">
        <v>1</v>
      </c>
    </row>
    <row r="546" spans="1:5" x14ac:dyDescent="0.35">
      <c r="A546" t="s">
        <v>1682</v>
      </c>
      <c r="B546" t="s">
        <v>1683</v>
      </c>
      <c r="C546" t="s">
        <v>774</v>
      </c>
      <c r="D546" t="s">
        <v>366</v>
      </c>
      <c r="E546">
        <v>1</v>
      </c>
    </row>
    <row r="547" spans="1:5" x14ac:dyDescent="0.35">
      <c r="A547" t="s">
        <v>1684</v>
      </c>
      <c r="B547" t="s">
        <v>1685</v>
      </c>
      <c r="C547" t="s">
        <v>1016</v>
      </c>
      <c r="D547" t="s">
        <v>52</v>
      </c>
      <c r="E547">
        <v>1</v>
      </c>
    </row>
    <row r="548" spans="1:5" x14ac:dyDescent="0.35">
      <c r="A548" t="s">
        <v>1686</v>
      </c>
      <c r="B548" t="s">
        <v>1687</v>
      </c>
      <c r="C548" t="s">
        <v>1360</v>
      </c>
      <c r="D548" t="s">
        <v>52</v>
      </c>
      <c r="E548">
        <v>1</v>
      </c>
    </row>
    <row r="549" spans="1:5" x14ac:dyDescent="0.35">
      <c r="A549" t="s">
        <v>1688</v>
      </c>
      <c r="B549" t="s">
        <v>1689</v>
      </c>
      <c r="C549" t="s">
        <v>653</v>
      </c>
      <c r="D549" t="s">
        <v>158</v>
      </c>
      <c r="E549">
        <v>1</v>
      </c>
    </row>
    <row r="550" spans="1:5" x14ac:dyDescent="0.35">
      <c r="A550" t="s">
        <v>1690</v>
      </c>
      <c r="B550" t="s">
        <v>1691</v>
      </c>
      <c r="C550" t="s">
        <v>889</v>
      </c>
      <c r="D550" t="s">
        <v>349</v>
      </c>
      <c r="E550">
        <v>1</v>
      </c>
    </row>
    <row r="551" spans="1:5" x14ac:dyDescent="0.35">
      <c r="A551" t="s">
        <v>1692</v>
      </c>
      <c r="B551" t="s">
        <v>1693</v>
      </c>
      <c r="C551" t="s">
        <v>1553</v>
      </c>
      <c r="D551" t="s">
        <v>520</v>
      </c>
      <c r="E551">
        <v>1</v>
      </c>
    </row>
    <row r="552" spans="1:5" x14ac:dyDescent="0.35">
      <c r="A552" t="s">
        <v>1694</v>
      </c>
      <c r="B552" t="s">
        <v>1695</v>
      </c>
      <c r="C552" t="s">
        <v>488</v>
      </c>
      <c r="D552" t="s">
        <v>626</v>
      </c>
      <c r="E552">
        <v>1</v>
      </c>
    </row>
    <row r="553" spans="1:5" x14ac:dyDescent="0.35">
      <c r="A553" t="s">
        <v>1696</v>
      </c>
      <c r="B553" t="s">
        <v>1697</v>
      </c>
      <c r="C553" t="s">
        <v>1698</v>
      </c>
      <c r="D553" t="s">
        <v>436</v>
      </c>
      <c r="E553">
        <v>1</v>
      </c>
    </row>
    <row r="554" spans="1:5" x14ac:dyDescent="0.35">
      <c r="A554" t="s">
        <v>1699</v>
      </c>
      <c r="B554" t="s">
        <v>1700</v>
      </c>
      <c r="C554" t="s">
        <v>1016</v>
      </c>
      <c r="D554" t="s">
        <v>52</v>
      </c>
      <c r="E554">
        <v>1</v>
      </c>
    </row>
    <row r="555" spans="1:5" x14ac:dyDescent="0.35">
      <c r="A555" t="s">
        <v>1701</v>
      </c>
      <c r="B555" t="s">
        <v>1702</v>
      </c>
      <c r="C555" t="s">
        <v>1703</v>
      </c>
      <c r="D555" t="s">
        <v>84</v>
      </c>
      <c r="E555">
        <v>1</v>
      </c>
    </row>
    <row r="556" spans="1:5" x14ac:dyDescent="0.35">
      <c r="A556" t="s">
        <v>1704</v>
      </c>
      <c r="B556" t="s">
        <v>1705</v>
      </c>
      <c r="C556" t="s">
        <v>1706</v>
      </c>
      <c r="D556" t="s">
        <v>103</v>
      </c>
      <c r="E556">
        <v>1</v>
      </c>
    </row>
    <row r="557" spans="1:5" x14ac:dyDescent="0.35">
      <c r="A557" t="s">
        <v>1707</v>
      </c>
      <c r="B557" t="s">
        <v>1708</v>
      </c>
      <c r="C557" t="s">
        <v>1709</v>
      </c>
      <c r="D557" t="s">
        <v>84</v>
      </c>
      <c r="E557">
        <v>1</v>
      </c>
    </row>
    <row r="558" spans="1:5" x14ac:dyDescent="0.35">
      <c r="A558" t="s">
        <v>1710</v>
      </c>
      <c r="B558" t="s">
        <v>1711</v>
      </c>
      <c r="C558" t="s">
        <v>1712</v>
      </c>
      <c r="D558" t="s">
        <v>158</v>
      </c>
      <c r="E558">
        <v>1</v>
      </c>
    </row>
    <row r="559" spans="1:5" x14ac:dyDescent="0.35">
      <c r="A559" t="s">
        <v>1713</v>
      </c>
      <c r="B559" t="s">
        <v>1714</v>
      </c>
      <c r="C559" t="s">
        <v>1715</v>
      </c>
      <c r="D559" t="s">
        <v>84</v>
      </c>
      <c r="E559">
        <v>1</v>
      </c>
    </row>
    <row r="560" spans="1:5" x14ac:dyDescent="0.35">
      <c r="A560" t="s">
        <v>1716</v>
      </c>
      <c r="B560" t="s">
        <v>1717</v>
      </c>
      <c r="C560" t="s">
        <v>659</v>
      </c>
      <c r="D560" t="s">
        <v>158</v>
      </c>
      <c r="E560">
        <v>1</v>
      </c>
    </row>
    <row r="561" spans="1:5" x14ac:dyDescent="0.35">
      <c r="A561" t="s">
        <v>1718</v>
      </c>
      <c r="B561" t="s">
        <v>1719</v>
      </c>
      <c r="C561" t="s">
        <v>1720</v>
      </c>
      <c r="D561" t="s">
        <v>84</v>
      </c>
      <c r="E561">
        <v>1</v>
      </c>
    </row>
    <row r="562" spans="1:5" x14ac:dyDescent="0.35">
      <c r="A562" t="s">
        <v>1721</v>
      </c>
      <c r="B562" t="s">
        <v>1722</v>
      </c>
      <c r="C562" t="s">
        <v>1723</v>
      </c>
      <c r="D562" t="s">
        <v>395</v>
      </c>
      <c r="E562">
        <v>1</v>
      </c>
    </row>
    <row r="563" spans="1:5" x14ac:dyDescent="0.35">
      <c r="A563" t="s">
        <v>1724</v>
      </c>
      <c r="B563" t="s">
        <v>1725</v>
      </c>
      <c r="C563" t="s">
        <v>875</v>
      </c>
      <c r="D563" t="s">
        <v>668</v>
      </c>
      <c r="E563">
        <v>1</v>
      </c>
    </row>
    <row r="564" spans="1:5" x14ac:dyDescent="0.35">
      <c r="A564" t="s">
        <v>1726</v>
      </c>
      <c r="B564" t="s">
        <v>1727</v>
      </c>
      <c r="C564" t="s">
        <v>474</v>
      </c>
      <c r="D564" t="s">
        <v>362</v>
      </c>
      <c r="E564">
        <v>1</v>
      </c>
    </row>
    <row r="565" spans="1:5" x14ac:dyDescent="0.35">
      <c r="A565" t="s">
        <v>1728</v>
      </c>
      <c r="B565" t="s">
        <v>1729</v>
      </c>
      <c r="C565" t="s">
        <v>878</v>
      </c>
      <c r="D565" t="s">
        <v>408</v>
      </c>
      <c r="E565">
        <v>1</v>
      </c>
    </row>
    <row r="566" spans="1:5" x14ac:dyDescent="0.35">
      <c r="A566" t="s">
        <v>1730</v>
      </c>
      <c r="B566" t="s">
        <v>1731</v>
      </c>
      <c r="C566" t="s">
        <v>1732</v>
      </c>
      <c r="D566" t="s">
        <v>96</v>
      </c>
      <c r="E566">
        <v>1</v>
      </c>
    </row>
    <row r="567" spans="1:5" x14ac:dyDescent="0.35">
      <c r="A567" t="s">
        <v>1733</v>
      </c>
      <c r="B567" t="s">
        <v>1734</v>
      </c>
      <c r="C567" t="s">
        <v>1735</v>
      </c>
      <c r="D567" t="s">
        <v>96</v>
      </c>
      <c r="E567">
        <v>1</v>
      </c>
    </row>
    <row r="568" spans="1:5" x14ac:dyDescent="0.35">
      <c r="A568" t="s">
        <v>1736</v>
      </c>
      <c r="B568" t="s">
        <v>1737</v>
      </c>
      <c r="C568" t="s">
        <v>1738</v>
      </c>
      <c r="D568" t="s">
        <v>84</v>
      </c>
      <c r="E568">
        <v>1</v>
      </c>
    </row>
    <row r="569" spans="1:5" x14ac:dyDescent="0.35">
      <c r="A569" t="s">
        <v>1739</v>
      </c>
      <c r="B569" t="s">
        <v>1740</v>
      </c>
      <c r="C569" t="s">
        <v>474</v>
      </c>
      <c r="D569" t="s">
        <v>362</v>
      </c>
      <c r="E569">
        <v>1</v>
      </c>
    </row>
    <row r="570" spans="1:5" x14ac:dyDescent="0.35">
      <c r="A570" t="s">
        <v>1741</v>
      </c>
      <c r="B570" t="s">
        <v>1742</v>
      </c>
      <c r="C570" t="s">
        <v>1743</v>
      </c>
      <c r="D570" t="s">
        <v>72</v>
      </c>
      <c r="E570">
        <v>1</v>
      </c>
    </row>
    <row r="571" spans="1:5" x14ac:dyDescent="0.35">
      <c r="A571" t="s">
        <v>1744</v>
      </c>
      <c r="B571" t="s">
        <v>1745</v>
      </c>
      <c r="C571" t="s">
        <v>889</v>
      </c>
      <c r="D571" t="s">
        <v>349</v>
      </c>
      <c r="E571">
        <v>1</v>
      </c>
    </row>
    <row r="572" spans="1:5" x14ac:dyDescent="0.35">
      <c r="A572" t="s">
        <v>1746</v>
      </c>
      <c r="B572" t="s">
        <v>1747</v>
      </c>
      <c r="C572" t="s">
        <v>711</v>
      </c>
      <c r="D572" t="s">
        <v>520</v>
      </c>
      <c r="E572">
        <v>1</v>
      </c>
    </row>
    <row r="573" spans="1:5" x14ac:dyDescent="0.35">
      <c r="A573" t="s">
        <v>1748</v>
      </c>
      <c r="B573" t="s">
        <v>1749</v>
      </c>
      <c r="C573" t="s">
        <v>1750</v>
      </c>
      <c r="D573" t="s">
        <v>237</v>
      </c>
      <c r="E573">
        <v>1</v>
      </c>
    </row>
    <row r="574" spans="1:5" x14ac:dyDescent="0.35">
      <c r="A574" t="s">
        <v>1751</v>
      </c>
      <c r="B574" t="s">
        <v>1752</v>
      </c>
      <c r="C574" t="s">
        <v>529</v>
      </c>
      <c r="D574" t="s">
        <v>362</v>
      </c>
      <c r="E574">
        <v>1</v>
      </c>
    </row>
    <row r="575" spans="1:5" x14ac:dyDescent="0.35">
      <c r="A575" t="s">
        <v>1753</v>
      </c>
      <c r="B575" t="s">
        <v>1754</v>
      </c>
      <c r="C575" t="s">
        <v>1755</v>
      </c>
      <c r="D575" t="s">
        <v>96</v>
      </c>
      <c r="E575">
        <v>1</v>
      </c>
    </row>
    <row r="576" spans="1:5" x14ac:dyDescent="0.35">
      <c r="A576" t="s">
        <v>1756</v>
      </c>
      <c r="B576" t="s">
        <v>1757</v>
      </c>
      <c r="C576" t="s">
        <v>514</v>
      </c>
      <c r="D576" t="s">
        <v>345</v>
      </c>
      <c r="E576">
        <v>1</v>
      </c>
    </row>
    <row r="577" spans="1:5" x14ac:dyDescent="0.35">
      <c r="A577" t="s">
        <v>1758</v>
      </c>
      <c r="B577" t="s">
        <v>1759</v>
      </c>
      <c r="C577" t="s">
        <v>615</v>
      </c>
      <c r="D577" t="s">
        <v>541</v>
      </c>
      <c r="E577">
        <v>1</v>
      </c>
    </row>
    <row r="578" spans="1:5" x14ac:dyDescent="0.35">
      <c r="A578" t="s">
        <v>1760</v>
      </c>
      <c r="B578" t="s">
        <v>1761</v>
      </c>
      <c r="C578" t="s">
        <v>1762</v>
      </c>
      <c r="D578" t="s">
        <v>220</v>
      </c>
      <c r="E578">
        <v>1</v>
      </c>
    </row>
    <row r="579" spans="1:5" x14ac:dyDescent="0.35">
      <c r="A579" t="s">
        <v>1763</v>
      </c>
      <c r="B579" t="s">
        <v>1764</v>
      </c>
      <c r="C579" t="s">
        <v>790</v>
      </c>
      <c r="D579" t="s">
        <v>52</v>
      </c>
      <c r="E579">
        <v>1</v>
      </c>
    </row>
    <row r="580" spans="1:5" x14ac:dyDescent="0.35">
      <c r="A580" t="s">
        <v>1765</v>
      </c>
      <c r="B580" t="s">
        <v>1766</v>
      </c>
      <c r="C580" t="s">
        <v>1767</v>
      </c>
      <c r="D580" t="s">
        <v>52</v>
      </c>
      <c r="E580">
        <v>1</v>
      </c>
    </row>
    <row r="581" spans="1:5" x14ac:dyDescent="0.35">
      <c r="A581" t="s">
        <v>1768</v>
      </c>
      <c r="B581" t="s">
        <v>1769</v>
      </c>
      <c r="C581" t="s">
        <v>474</v>
      </c>
      <c r="D581" t="s">
        <v>362</v>
      </c>
      <c r="E581">
        <v>1</v>
      </c>
    </row>
    <row r="582" spans="1:5" x14ac:dyDescent="0.35">
      <c r="A582" t="s">
        <v>1770</v>
      </c>
      <c r="B582" t="s">
        <v>1771</v>
      </c>
      <c r="C582" t="s">
        <v>1772</v>
      </c>
      <c r="D582" t="s">
        <v>331</v>
      </c>
      <c r="E582">
        <v>1</v>
      </c>
    </row>
    <row r="583" spans="1:5" x14ac:dyDescent="0.35">
      <c r="A583" t="s">
        <v>1773</v>
      </c>
      <c r="B583" t="s">
        <v>1774</v>
      </c>
      <c r="C583" t="s">
        <v>1775</v>
      </c>
      <c r="D583" t="s">
        <v>92</v>
      </c>
      <c r="E583">
        <v>1</v>
      </c>
    </row>
    <row r="584" spans="1:5" x14ac:dyDescent="0.35">
      <c r="A584" t="s">
        <v>1776</v>
      </c>
      <c r="B584" t="s">
        <v>1777</v>
      </c>
      <c r="C584" t="s">
        <v>691</v>
      </c>
      <c r="D584" t="s">
        <v>211</v>
      </c>
      <c r="E584">
        <v>1</v>
      </c>
    </row>
    <row r="585" spans="1:5" x14ac:dyDescent="0.35">
      <c r="A585" t="s">
        <v>1778</v>
      </c>
      <c r="B585" t="s">
        <v>1779</v>
      </c>
      <c r="C585" t="s">
        <v>940</v>
      </c>
      <c r="D585" t="s">
        <v>520</v>
      </c>
      <c r="E585">
        <v>1</v>
      </c>
    </row>
    <row r="586" spans="1:5" x14ac:dyDescent="0.35">
      <c r="A586" t="s">
        <v>1780</v>
      </c>
      <c r="B586" t="s">
        <v>1781</v>
      </c>
      <c r="C586" t="s">
        <v>1782</v>
      </c>
      <c r="D586" t="s">
        <v>123</v>
      </c>
      <c r="E586">
        <v>1</v>
      </c>
    </row>
    <row r="587" spans="1:5" x14ac:dyDescent="0.35">
      <c r="A587" t="s">
        <v>1783</v>
      </c>
      <c r="B587" t="s">
        <v>1784</v>
      </c>
      <c r="C587" t="s">
        <v>766</v>
      </c>
      <c r="D587" t="s">
        <v>429</v>
      </c>
      <c r="E587">
        <v>1</v>
      </c>
    </row>
    <row r="588" spans="1:5" x14ac:dyDescent="0.35">
      <c r="A588" t="s">
        <v>1785</v>
      </c>
      <c r="B588" t="s">
        <v>1786</v>
      </c>
      <c r="C588" t="s">
        <v>1038</v>
      </c>
      <c r="D588" t="s">
        <v>211</v>
      </c>
      <c r="E588">
        <v>1</v>
      </c>
    </row>
    <row r="589" spans="1:5" x14ac:dyDescent="0.35">
      <c r="A589" t="s">
        <v>1787</v>
      </c>
      <c r="B589" t="s">
        <v>1788</v>
      </c>
      <c r="C589" t="s">
        <v>1789</v>
      </c>
      <c r="D589" t="s">
        <v>541</v>
      </c>
      <c r="E589">
        <v>1</v>
      </c>
    </row>
    <row r="590" spans="1:5" x14ac:dyDescent="0.35">
      <c r="A590" t="s">
        <v>1790</v>
      </c>
      <c r="B590" t="s">
        <v>1791</v>
      </c>
      <c r="C590" t="s">
        <v>1548</v>
      </c>
      <c r="D590" t="s">
        <v>741</v>
      </c>
      <c r="E590">
        <v>1</v>
      </c>
    </row>
    <row r="591" spans="1:5" x14ac:dyDescent="0.35">
      <c r="A591" t="s">
        <v>1792</v>
      </c>
      <c r="B591" t="s">
        <v>1793</v>
      </c>
      <c r="C591" t="s">
        <v>1794</v>
      </c>
      <c r="D591" t="s">
        <v>541</v>
      </c>
      <c r="E591">
        <v>1</v>
      </c>
    </row>
    <row r="592" spans="1:5" x14ac:dyDescent="0.35">
      <c r="A592" t="s">
        <v>1795</v>
      </c>
      <c r="B592" t="s">
        <v>1796</v>
      </c>
      <c r="C592" t="s">
        <v>1797</v>
      </c>
      <c r="D592" t="s">
        <v>541</v>
      </c>
      <c r="E592">
        <v>1</v>
      </c>
    </row>
    <row r="593" spans="1:5" x14ac:dyDescent="0.35">
      <c r="A593" t="s">
        <v>1798</v>
      </c>
      <c r="B593" t="s">
        <v>1799</v>
      </c>
      <c r="C593" t="s">
        <v>488</v>
      </c>
      <c r="D593" t="s">
        <v>626</v>
      </c>
      <c r="E593">
        <v>1</v>
      </c>
    </row>
    <row r="594" spans="1:5" x14ac:dyDescent="0.35">
      <c r="A594" t="s">
        <v>1800</v>
      </c>
      <c r="B594" t="s">
        <v>1801</v>
      </c>
      <c r="C594" t="s">
        <v>488</v>
      </c>
      <c r="D594" t="s">
        <v>626</v>
      </c>
      <c r="E594">
        <v>1</v>
      </c>
    </row>
    <row r="595" spans="1:5" x14ac:dyDescent="0.35">
      <c r="A595" t="s">
        <v>1802</v>
      </c>
      <c r="B595" t="s">
        <v>1803</v>
      </c>
      <c r="C595" t="s">
        <v>940</v>
      </c>
      <c r="D595" t="s">
        <v>520</v>
      </c>
      <c r="E595">
        <v>1</v>
      </c>
    </row>
    <row r="596" spans="1:5" x14ac:dyDescent="0.35">
      <c r="A596" t="s">
        <v>1804</v>
      </c>
      <c r="B596" t="s">
        <v>1805</v>
      </c>
      <c r="C596" t="s">
        <v>1038</v>
      </c>
      <c r="D596" t="s">
        <v>211</v>
      </c>
      <c r="E596">
        <v>1</v>
      </c>
    </row>
    <row r="597" spans="1:5" x14ac:dyDescent="0.35">
      <c r="A597" t="s">
        <v>1806</v>
      </c>
      <c r="B597" t="s">
        <v>1807</v>
      </c>
      <c r="C597" t="s">
        <v>1808</v>
      </c>
      <c r="D597" t="s">
        <v>123</v>
      </c>
      <c r="E597">
        <v>1</v>
      </c>
    </row>
    <row r="598" spans="1:5" x14ac:dyDescent="0.35">
      <c r="A598" t="s">
        <v>1809</v>
      </c>
      <c r="B598" t="s">
        <v>1810</v>
      </c>
      <c r="C598" t="s">
        <v>1811</v>
      </c>
      <c r="D598" t="s">
        <v>220</v>
      </c>
      <c r="E598">
        <v>1</v>
      </c>
    </row>
    <row r="599" spans="1:5" x14ac:dyDescent="0.35">
      <c r="A599" t="s">
        <v>1812</v>
      </c>
      <c r="B599" t="s">
        <v>1813</v>
      </c>
      <c r="C599" t="s">
        <v>1584</v>
      </c>
      <c r="D599" t="s">
        <v>395</v>
      </c>
      <c r="E599">
        <v>1</v>
      </c>
    </row>
    <row r="600" spans="1:5" x14ac:dyDescent="0.35">
      <c r="A600" t="s">
        <v>1814</v>
      </c>
      <c r="B600" t="s">
        <v>1815</v>
      </c>
      <c r="C600" t="s">
        <v>1071</v>
      </c>
      <c r="D600" t="s">
        <v>520</v>
      </c>
      <c r="E600">
        <v>1</v>
      </c>
    </row>
    <row r="601" spans="1:5" x14ac:dyDescent="0.35">
      <c r="A601" t="s">
        <v>1816</v>
      </c>
      <c r="B601" t="s">
        <v>1817</v>
      </c>
      <c r="C601" t="s">
        <v>1818</v>
      </c>
      <c r="D601" t="s">
        <v>92</v>
      </c>
      <c r="E601">
        <v>1</v>
      </c>
    </row>
    <row r="602" spans="1:5" x14ac:dyDescent="0.35">
      <c r="A602" t="s">
        <v>1819</v>
      </c>
      <c r="B602" t="s">
        <v>1820</v>
      </c>
      <c r="C602" t="s">
        <v>425</v>
      </c>
      <c r="D602" t="s">
        <v>349</v>
      </c>
      <c r="E602">
        <v>1</v>
      </c>
    </row>
    <row r="603" spans="1:5" x14ac:dyDescent="0.35">
      <c r="A603" t="s">
        <v>1821</v>
      </c>
      <c r="B603" t="s">
        <v>1822</v>
      </c>
      <c r="C603" t="s">
        <v>1033</v>
      </c>
      <c r="D603" t="s">
        <v>96</v>
      </c>
      <c r="E603">
        <v>1</v>
      </c>
    </row>
    <row r="604" spans="1:5" x14ac:dyDescent="0.35">
      <c r="A604" t="s">
        <v>1823</v>
      </c>
      <c r="B604" t="s">
        <v>1824</v>
      </c>
      <c r="C604" t="s">
        <v>1517</v>
      </c>
      <c r="D604" t="s">
        <v>349</v>
      </c>
      <c r="E604">
        <v>1</v>
      </c>
    </row>
    <row r="605" spans="1:5" x14ac:dyDescent="0.35">
      <c r="A605" t="s">
        <v>1825</v>
      </c>
      <c r="B605" t="s">
        <v>1826</v>
      </c>
      <c r="C605" t="s">
        <v>1827</v>
      </c>
      <c r="D605" t="s">
        <v>1180</v>
      </c>
      <c r="E605">
        <v>1</v>
      </c>
    </row>
    <row r="606" spans="1:5" x14ac:dyDescent="0.35">
      <c r="A606" t="s">
        <v>1828</v>
      </c>
      <c r="B606" t="s">
        <v>1829</v>
      </c>
      <c r="C606" t="s">
        <v>514</v>
      </c>
      <c r="D606" t="s">
        <v>345</v>
      </c>
      <c r="E606">
        <v>1</v>
      </c>
    </row>
    <row r="607" spans="1:5" x14ac:dyDescent="0.35">
      <c r="A607" t="s">
        <v>1830</v>
      </c>
      <c r="B607" t="s">
        <v>1831</v>
      </c>
      <c r="C607" t="s">
        <v>1517</v>
      </c>
      <c r="D607" t="s">
        <v>349</v>
      </c>
      <c r="E607">
        <v>1</v>
      </c>
    </row>
    <row r="608" spans="1:5" x14ac:dyDescent="0.35">
      <c r="A608" t="s">
        <v>1832</v>
      </c>
      <c r="B608" t="s">
        <v>1833</v>
      </c>
      <c r="C608" t="s">
        <v>1517</v>
      </c>
      <c r="D608" t="s">
        <v>349</v>
      </c>
      <c r="E608">
        <v>1</v>
      </c>
    </row>
    <row r="609" spans="1:5" x14ac:dyDescent="0.35">
      <c r="A609" t="s">
        <v>1834</v>
      </c>
      <c r="B609" t="s">
        <v>1835</v>
      </c>
      <c r="C609" t="s">
        <v>1517</v>
      </c>
      <c r="D609" t="s">
        <v>349</v>
      </c>
      <c r="E609">
        <v>1</v>
      </c>
    </row>
    <row r="610" spans="1:5" x14ac:dyDescent="0.35">
      <c r="A610" t="s">
        <v>1836</v>
      </c>
      <c r="B610" t="s">
        <v>1837</v>
      </c>
      <c r="C610" t="s">
        <v>1329</v>
      </c>
      <c r="D610" t="s">
        <v>345</v>
      </c>
      <c r="E610">
        <v>1</v>
      </c>
    </row>
    <row r="611" spans="1:5" x14ac:dyDescent="0.35">
      <c r="A611" t="s">
        <v>1838</v>
      </c>
      <c r="B611" t="s">
        <v>1839</v>
      </c>
      <c r="C611" t="s">
        <v>1517</v>
      </c>
      <c r="D611" t="s">
        <v>349</v>
      </c>
      <c r="E611">
        <v>1</v>
      </c>
    </row>
    <row r="612" spans="1:5" x14ac:dyDescent="0.35">
      <c r="A612" t="s">
        <v>1840</v>
      </c>
      <c r="B612" t="s">
        <v>1841</v>
      </c>
      <c r="C612" t="s">
        <v>1517</v>
      </c>
      <c r="D612" t="s">
        <v>349</v>
      </c>
      <c r="E612">
        <v>1</v>
      </c>
    </row>
    <row r="613" spans="1:5" x14ac:dyDescent="0.35">
      <c r="A613" t="s">
        <v>1842</v>
      </c>
      <c r="B613" t="s">
        <v>1843</v>
      </c>
      <c r="C613" t="s">
        <v>1517</v>
      </c>
      <c r="D613" t="s">
        <v>349</v>
      </c>
      <c r="E613">
        <v>1</v>
      </c>
    </row>
    <row r="614" spans="1:5" x14ac:dyDescent="0.35">
      <c r="A614" t="s">
        <v>1844</v>
      </c>
      <c r="B614" t="s">
        <v>1845</v>
      </c>
      <c r="C614" t="s">
        <v>771</v>
      </c>
      <c r="D614" t="s">
        <v>366</v>
      </c>
      <c r="E614">
        <v>1</v>
      </c>
    </row>
    <row r="615" spans="1:5" x14ac:dyDescent="0.35">
      <c r="A615" t="s">
        <v>1846</v>
      </c>
      <c r="B615" t="s">
        <v>1847</v>
      </c>
      <c r="C615" t="s">
        <v>1517</v>
      </c>
      <c r="D615" t="s">
        <v>349</v>
      </c>
      <c r="E615">
        <v>1</v>
      </c>
    </row>
    <row r="616" spans="1:5" x14ac:dyDescent="0.35">
      <c r="A616" t="s">
        <v>1848</v>
      </c>
      <c r="B616" t="s">
        <v>1849</v>
      </c>
      <c r="C616" t="s">
        <v>1517</v>
      </c>
      <c r="D616" t="s">
        <v>349</v>
      </c>
      <c r="E616">
        <v>1</v>
      </c>
    </row>
    <row r="617" spans="1:5" x14ac:dyDescent="0.35">
      <c r="A617" t="s">
        <v>1850</v>
      </c>
      <c r="B617" t="s">
        <v>1851</v>
      </c>
      <c r="C617" t="s">
        <v>1767</v>
      </c>
      <c r="D617" t="s">
        <v>52</v>
      </c>
      <c r="E617">
        <v>1</v>
      </c>
    </row>
    <row r="618" spans="1:5" x14ac:dyDescent="0.35">
      <c r="A618" t="s">
        <v>1852</v>
      </c>
      <c r="B618" t="s">
        <v>1853</v>
      </c>
      <c r="C618" t="s">
        <v>1854</v>
      </c>
      <c r="D618" t="s">
        <v>395</v>
      </c>
      <c r="E618">
        <v>1</v>
      </c>
    </row>
    <row r="619" spans="1:5" x14ac:dyDescent="0.35">
      <c r="A619" t="s">
        <v>1855</v>
      </c>
      <c r="B619" t="s">
        <v>1856</v>
      </c>
      <c r="C619" t="s">
        <v>1857</v>
      </c>
      <c r="D619" t="s">
        <v>96</v>
      </c>
      <c r="E619">
        <v>1</v>
      </c>
    </row>
    <row r="620" spans="1:5" x14ac:dyDescent="0.35">
      <c r="A620" t="s">
        <v>1858</v>
      </c>
      <c r="B620" t="s">
        <v>1859</v>
      </c>
      <c r="C620" t="s">
        <v>1860</v>
      </c>
      <c r="D620" t="s">
        <v>84</v>
      </c>
      <c r="E620">
        <v>1</v>
      </c>
    </row>
    <row r="621" spans="1:5" x14ac:dyDescent="0.35">
      <c r="A621" t="s">
        <v>1861</v>
      </c>
      <c r="B621" t="s">
        <v>1862</v>
      </c>
      <c r="C621" t="s">
        <v>1545</v>
      </c>
      <c r="D621" t="s">
        <v>408</v>
      </c>
      <c r="E621">
        <v>1</v>
      </c>
    </row>
    <row r="622" spans="1:5" x14ac:dyDescent="0.35">
      <c r="A622" t="s">
        <v>1863</v>
      </c>
      <c r="B622" t="s">
        <v>1864</v>
      </c>
      <c r="C622" t="s">
        <v>552</v>
      </c>
      <c r="D622" t="s">
        <v>142</v>
      </c>
      <c r="E622">
        <v>1</v>
      </c>
    </row>
    <row r="623" spans="1:5" x14ac:dyDescent="0.35">
      <c r="A623" t="s">
        <v>1865</v>
      </c>
      <c r="B623" t="s">
        <v>1866</v>
      </c>
      <c r="C623" t="s">
        <v>1867</v>
      </c>
      <c r="D623" t="s">
        <v>376</v>
      </c>
      <c r="E623">
        <v>1</v>
      </c>
    </row>
    <row r="624" spans="1:5" x14ac:dyDescent="0.35">
      <c r="A624" t="s">
        <v>1868</v>
      </c>
      <c r="B624" t="s">
        <v>1869</v>
      </c>
      <c r="C624" t="s">
        <v>1870</v>
      </c>
      <c r="D624" t="s">
        <v>103</v>
      </c>
      <c r="E624">
        <v>1</v>
      </c>
    </row>
    <row r="625" spans="1:5" x14ac:dyDescent="0.35">
      <c r="A625" t="s">
        <v>1871</v>
      </c>
      <c r="B625" t="s">
        <v>1872</v>
      </c>
      <c r="C625" t="s">
        <v>1873</v>
      </c>
      <c r="D625" t="s">
        <v>123</v>
      </c>
      <c r="E625">
        <v>1</v>
      </c>
    </row>
    <row r="626" spans="1:5" x14ac:dyDescent="0.35">
      <c r="A626" t="s">
        <v>1874</v>
      </c>
      <c r="B626" t="s">
        <v>1875</v>
      </c>
      <c r="C626" t="s">
        <v>529</v>
      </c>
      <c r="D626" t="s">
        <v>362</v>
      </c>
      <c r="E626">
        <v>1</v>
      </c>
    </row>
    <row r="627" spans="1:5" x14ac:dyDescent="0.35">
      <c r="A627" t="s">
        <v>1876</v>
      </c>
      <c r="B627" t="s">
        <v>1877</v>
      </c>
      <c r="C627" t="s">
        <v>529</v>
      </c>
      <c r="D627" t="s">
        <v>362</v>
      </c>
      <c r="E627">
        <v>1</v>
      </c>
    </row>
    <row r="628" spans="1:5" x14ac:dyDescent="0.35">
      <c r="A628" t="s">
        <v>1878</v>
      </c>
      <c r="B628" t="s">
        <v>1879</v>
      </c>
      <c r="C628" t="s">
        <v>866</v>
      </c>
      <c r="D628" t="s">
        <v>52</v>
      </c>
      <c r="E628">
        <v>1</v>
      </c>
    </row>
    <row r="629" spans="1:5" x14ac:dyDescent="0.35">
      <c r="A629" t="s">
        <v>1880</v>
      </c>
      <c r="B629" t="s">
        <v>1881</v>
      </c>
      <c r="C629" t="s">
        <v>1882</v>
      </c>
      <c r="D629" t="s">
        <v>211</v>
      </c>
      <c r="E629">
        <v>2</v>
      </c>
    </row>
    <row r="630" spans="1:5" x14ac:dyDescent="0.35">
      <c r="A630" t="s">
        <v>1883</v>
      </c>
      <c r="B630" t="s">
        <v>1884</v>
      </c>
      <c r="C630" t="s">
        <v>1885</v>
      </c>
      <c r="D630" t="s">
        <v>408</v>
      </c>
      <c r="E630">
        <v>1</v>
      </c>
    </row>
    <row r="631" spans="1:5" x14ac:dyDescent="0.35">
      <c r="A631" t="s">
        <v>1886</v>
      </c>
      <c r="B631" t="s">
        <v>1887</v>
      </c>
      <c r="C631" t="s">
        <v>642</v>
      </c>
      <c r="D631" t="s">
        <v>362</v>
      </c>
      <c r="E631">
        <v>1</v>
      </c>
    </row>
    <row r="632" spans="1:5" x14ac:dyDescent="0.35">
      <c r="A632" t="s">
        <v>1888</v>
      </c>
      <c r="B632" t="s">
        <v>1889</v>
      </c>
      <c r="C632" t="s">
        <v>790</v>
      </c>
      <c r="D632" t="s">
        <v>52</v>
      </c>
      <c r="E632">
        <v>1</v>
      </c>
    </row>
    <row r="633" spans="1:5" x14ac:dyDescent="0.35">
      <c r="A633" t="s">
        <v>1890</v>
      </c>
      <c r="B633" t="s">
        <v>1891</v>
      </c>
      <c r="C633" t="s">
        <v>1892</v>
      </c>
      <c r="D633" t="s">
        <v>520</v>
      </c>
      <c r="E633">
        <v>1</v>
      </c>
    </row>
    <row r="634" spans="1:5" x14ac:dyDescent="0.35">
      <c r="A634" t="s">
        <v>1893</v>
      </c>
      <c r="B634" t="s">
        <v>1894</v>
      </c>
      <c r="C634" t="s">
        <v>1895</v>
      </c>
      <c r="D634" t="s">
        <v>541</v>
      </c>
      <c r="E634">
        <v>1</v>
      </c>
    </row>
    <row r="635" spans="1:5" x14ac:dyDescent="0.35">
      <c r="A635" t="s">
        <v>1896</v>
      </c>
      <c r="B635" t="s">
        <v>1897</v>
      </c>
      <c r="C635" t="s">
        <v>1898</v>
      </c>
      <c r="D635" t="s">
        <v>52</v>
      </c>
      <c r="E635">
        <v>1</v>
      </c>
    </row>
    <row r="636" spans="1:5" x14ac:dyDescent="0.35">
      <c r="A636" t="s">
        <v>1899</v>
      </c>
      <c r="B636" t="s">
        <v>1900</v>
      </c>
      <c r="C636" t="s">
        <v>642</v>
      </c>
      <c r="D636" t="s">
        <v>362</v>
      </c>
      <c r="E636">
        <v>1</v>
      </c>
    </row>
    <row r="637" spans="1:5" x14ac:dyDescent="0.35">
      <c r="A637" t="s">
        <v>1901</v>
      </c>
      <c r="B637" t="s">
        <v>1902</v>
      </c>
      <c r="C637" t="s">
        <v>1903</v>
      </c>
      <c r="D637" t="s">
        <v>520</v>
      </c>
      <c r="E637">
        <v>1</v>
      </c>
    </row>
    <row r="638" spans="1:5" x14ac:dyDescent="0.35">
      <c r="A638" t="s">
        <v>1904</v>
      </c>
      <c r="B638" t="s">
        <v>1905</v>
      </c>
      <c r="C638" t="s">
        <v>1906</v>
      </c>
      <c r="D638" t="s">
        <v>395</v>
      </c>
      <c r="E638">
        <v>1</v>
      </c>
    </row>
    <row r="639" spans="1:5" x14ac:dyDescent="0.35">
      <c r="A639" t="s">
        <v>1907</v>
      </c>
      <c r="B639" t="s">
        <v>1908</v>
      </c>
      <c r="C639" t="s">
        <v>1909</v>
      </c>
      <c r="D639" t="s">
        <v>111</v>
      </c>
      <c r="E639">
        <v>1</v>
      </c>
    </row>
    <row r="640" spans="1:5" x14ac:dyDescent="0.35">
      <c r="A640" t="s">
        <v>1910</v>
      </c>
      <c r="B640" t="s">
        <v>1911</v>
      </c>
      <c r="C640" t="s">
        <v>790</v>
      </c>
      <c r="D640" t="s">
        <v>52</v>
      </c>
      <c r="E640">
        <v>1</v>
      </c>
    </row>
    <row r="641" spans="1:5" x14ac:dyDescent="0.35">
      <c r="A641" t="s">
        <v>1912</v>
      </c>
      <c r="B641" t="s">
        <v>1913</v>
      </c>
      <c r="C641" t="s">
        <v>1914</v>
      </c>
      <c r="D641" t="s">
        <v>111</v>
      </c>
      <c r="E641">
        <v>1</v>
      </c>
    </row>
    <row r="642" spans="1:5" x14ac:dyDescent="0.35">
      <c r="A642" t="s">
        <v>1915</v>
      </c>
      <c r="B642" t="s">
        <v>1916</v>
      </c>
      <c r="C642" t="s">
        <v>1917</v>
      </c>
      <c r="D642" t="s">
        <v>178</v>
      </c>
      <c r="E642">
        <v>1</v>
      </c>
    </row>
    <row r="643" spans="1:5" x14ac:dyDescent="0.35">
      <c r="A643" t="s">
        <v>1918</v>
      </c>
      <c r="B643" t="s">
        <v>1919</v>
      </c>
      <c r="C643" t="s">
        <v>1920</v>
      </c>
      <c r="D643" t="s">
        <v>92</v>
      </c>
      <c r="E643">
        <v>1</v>
      </c>
    </row>
    <row r="644" spans="1:5" x14ac:dyDescent="0.35">
      <c r="A644" t="s">
        <v>1921</v>
      </c>
      <c r="B644" t="s">
        <v>1922</v>
      </c>
      <c r="C644" t="s">
        <v>1329</v>
      </c>
      <c r="D644" t="s">
        <v>345</v>
      </c>
      <c r="E644">
        <v>1</v>
      </c>
    </row>
    <row r="645" spans="1:5" x14ac:dyDescent="0.35">
      <c r="A645" t="s">
        <v>1923</v>
      </c>
      <c r="B645" t="s">
        <v>1924</v>
      </c>
      <c r="C645" t="s">
        <v>1329</v>
      </c>
      <c r="D645" t="s">
        <v>345</v>
      </c>
      <c r="E645">
        <v>1</v>
      </c>
    </row>
    <row r="646" spans="1:5" x14ac:dyDescent="0.35">
      <c r="A646" t="s">
        <v>1925</v>
      </c>
      <c r="B646" t="s">
        <v>1926</v>
      </c>
      <c r="C646" t="s">
        <v>1329</v>
      </c>
      <c r="D646" t="s">
        <v>345</v>
      </c>
      <c r="E646">
        <v>1</v>
      </c>
    </row>
    <row r="647" spans="1:5" x14ac:dyDescent="0.35">
      <c r="A647" t="s">
        <v>1927</v>
      </c>
      <c r="B647" t="s">
        <v>1928</v>
      </c>
      <c r="C647" t="s">
        <v>1329</v>
      </c>
      <c r="D647" t="s">
        <v>345</v>
      </c>
      <c r="E647">
        <v>1</v>
      </c>
    </row>
    <row r="648" spans="1:5" x14ac:dyDescent="0.35">
      <c r="A648" t="s">
        <v>1929</v>
      </c>
      <c r="B648" t="s">
        <v>1930</v>
      </c>
      <c r="C648" t="s">
        <v>1329</v>
      </c>
      <c r="D648" t="s">
        <v>345</v>
      </c>
      <c r="E648">
        <v>1</v>
      </c>
    </row>
    <row r="649" spans="1:5" x14ac:dyDescent="0.35">
      <c r="A649" t="s">
        <v>1931</v>
      </c>
      <c r="B649" t="s">
        <v>1932</v>
      </c>
      <c r="C649" t="s">
        <v>1329</v>
      </c>
      <c r="D649" t="s">
        <v>345</v>
      </c>
      <c r="E649">
        <v>1</v>
      </c>
    </row>
    <row r="650" spans="1:5" x14ac:dyDescent="0.35">
      <c r="A650" t="s">
        <v>1933</v>
      </c>
      <c r="B650" t="s">
        <v>1934</v>
      </c>
      <c r="C650" t="s">
        <v>1329</v>
      </c>
      <c r="D650" t="s">
        <v>345</v>
      </c>
      <c r="E650">
        <v>1</v>
      </c>
    </row>
    <row r="651" spans="1:5" x14ac:dyDescent="0.35">
      <c r="A651" t="s">
        <v>1935</v>
      </c>
      <c r="B651" t="s">
        <v>1936</v>
      </c>
      <c r="C651" t="s">
        <v>1329</v>
      </c>
      <c r="D651" t="s">
        <v>345</v>
      </c>
      <c r="E651">
        <v>1</v>
      </c>
    </row>
    <row r="652" spans="1:5" x14ac:dyDescent="0.35">
      <c r="A652" t="s">
        <v>1937</v>
      </c>
      <c r="B652" t="s">
        <v>1938</v>
      </c>
      <c r="C652" t="s">
        <v>1329</v>
      </c>
      <c r="D652" t="s">
        <v>345</v>
      </c>
      <c r="E652">
        <v>1</v>
      </c>
    </row>
    <row r="653" spans="1:5" x14ac:dyDescent="0.35">
      <c r="A653" t="s">
        <v>1939</v>
      </c>
      <c r="B653" t="s">
        <v>1940</v>
      </c>
      <c r="C653" t="s">
        <v>1941</v>
      </c>
      <c r="D653" t="s">
        <v>178</v>
      </c>
      <c r="E653">
        <v>1</v>
      </c>
    </row>
    <row r="654" spans="1:5" x14ac:dyDescent="0.35">
      <c r="A654" t="s">
        <v>1942</v>
      </c>
      <c r="B654" t="s">
        <v>1943</v>
      </c>
      <c r="C654" t="s">
        <v>1944</v>
      </c>
      <c r="D654" t="s">
        <v>178</v>
      </c>
      <c r="E654">
        <v>1</v>
      </c>
    </row>
    <row r="655" spans="1:5" x14ac:dyDescent="0.35">
      <c r="A655" t="s">
        <v>1945</v>
      </c>
      <c r="B655" t="s">
        <v>1946</v>
      </c>
      <c r="C655" t="s">
        <v>1947</v>
      </c>
      <c r="D655" t="s">
        <v>178</v>
      </c>
      <c r="E655">
        <v>1</v>
      </c>
    </row>
    <row r="656" spans="1:5" x14ac:dyDescent="0.35">
      <c r="A656" t="s">
        <v>1948</v>
      </c>
      <c r="B656" t="s">
        <v>1949</v>
      </c>
      <c r="C656" t="s">
        <v>1950</v>
      </c>
      <c r="D656" t="s">
        <v>111</v>
      </c>
      <c r="E656">
        <v>1</v>
      </c>
    </row>
    <row r="657" spans="1:5" x14ac:dyDescent="0.35">
      <c r="A657" t="s">
        <v>1951</v>
      </c>
      <c r="B657" t="s">
        <v>1952</v>
      </c>
      <c r="C657" t="s">
        <v>1953</v>
      </c>
      <c r="D657" t="s">
        <v>1954</v>
      </c>
      <c r="E657">
        <v>1</v>
      </c>
    </row>
    <row r="658" spans="1:5" x14ac:dyDescent="0.35">
      <c r="A658" t="s">
        <v>1955</v>
      </c>
      <c r="B658" t="s">
        <v>1956</v>
      </c>
      <c r="C658" t="s">
        <v>1953</v>
      </c>
      <c r="D658" t="s">
        <v>1954</v>
      </c>
      <c r="E658">
        <v>1</v>
      </c>
    </row>
    <row r="659" spans="1:5" x14ac:dyDescent="0.35">
      <c r="A659" t="s">
        <v>1957</v>
      </c>
      <c r="B659" t="s">
        <v>1958</v>
      </c>
      <c r="C659" t="s">
        <v>1959</v>
      </c>
      <c r="D659" t="s">
        <v>1954</v>
      </c>
      <c r="E659">
        <v>1</v>
      </c>
    </row>
    <row r="660" spans="1:5" x14ac:dyDescent="0.35">
      <c r="A660" t="s">
        <v>1960</v>
      </c>
      <c r="B660" t="s">
        <v>1961</v>
      </c>
      <c r="C660" t="s">
        <v>1959</v>
      </c>
      <c r="D660" t="s">
        <v>1954</v>
      </c>
      <c r="E660">
        <v>1</v>
      </c>
    </row>
    <row r="661" spans="1:5" x14ac:dyDescent="0.35">
      <c r="A661" t="s">
        <v>1962</v>
      </c>
      <c r="B661" t="s">
        <v>1963</v>
      </c>
      <c r="C661" t="s">
        <v>1964</v>
      </c>
      <c r="D661" t="s">
        <v>178</v>
      </c>
      <c r="E661">
        <v>1</v>
      </c>
    </row>
    <row r="662" spans="1:5" x14ac:dyDescent="0.35">
      <c r="A662" t="s">
        <v>1965</v>
      </c>
      <c r="B662" t="s">
        <v>1966</v>
      </c>
      <c r="C662" t="s">
        <v>1750</v>
      </c>
      <c r="D662" t="s">
        <v>237</v>
      </c>
      <c r="E662">
        <v>1</v>
      </c>
    </row>
    <row r="663" spans="1:5" x14ac:dyDescent="0.35">
      <c r="A663" t="s">
        <v>1967</v>
      </c>
      <c r="B663" t="s">
        <v>1968</v>
      </c>
      <c r="C663" t="s">
        <v>1969</v>
      </c>
      <c r="D663" t="s">
        <v>178</v>
      </c>
      <c r="E663">
        <v>1</v>
      </c>
    </row>
    <row r="664" spans="1:5" x14ac:dyDescent="0.35">
      <c r="A664" t="s">
        <v>1970</v>
      </c>
      <c r="B664" t="s">
        <v>1971</v>
      </c>
      <c r="C664" t="s">
        <v>1370</v>
      </c>
      <c r="D664" t="s">
        <v>52</v>
      </c>
      <c r="E664">
        <v>1</v>
      </c>
    </row>
    <row r="665" spans="1:5" x14ac:dyDescent="0.35">
      <c r="A665" t="s">
        <v>1972</v>
      </c>
      <c r="B665" t="s">
        <v>1973</v>
      </c>
      <c r="C665" t="s">
        <v>1974</v>
      </c>
      <c r="D665" t="s">
        <v>220</v>
      </c>
      <c r="E665">
        <v>1</v>
      </c>
    </row>
    <row r="666" spans="1:5" x14ac:dyDescent="0.35">
      <c r="A666" t="s">
        <v>1975</v>
      </c>
      <c r="B666" t="s">
        <v>1976</v>
      </c>
      <c r="C666" t="s">
        <v>1953</v>
      </c>
      <c r="D666" t="s">
        <v>1954</v>
      </c>
      <c r="E666">
        <v>1</v>
      </c>
    </row>
    <row r="667" spans="1:5" x14ac:dyDescent="0.35">
      <c r="A667" t="s">
        <v>1977</v>
      </c>
      <c r="B667" t="s">
        <v>1978</v>
      </c>
      <c r="C667" t="s">
        <v>1953</v>
      </c>
      <c r="D667" t="s">
        <v>1954</v>
      </c>
      <c r="E667">
        <v>1</v>
      </c>
    </row>
    <row r="668" spans="1:5" x14ac:dyDescent="0.35">
      <c r="A668" t="s">
        <v>1979</v>
      </c>
      <c r="B668" t="s">
        <v>1980</v>
      </c>
      <c r="C668" t="s">
        <v>1953</v>
      </c>
      <c r="D668" t="s">
        <v>1954</v>
      </c>
      <c r="E668">
        <v>1</v>
      </c>
    </row>
    <row r="669" spans="1:5" x14ac:dyDescent="0.35">
      <c r="A669" t="s">
        <v>1981</v>
      </c>
      <c r="B669" t="s">
        <v>1982</v>
      </c>
      <c r="C669" t="s">
        <v>1827</v>
      </c>
      <c r="D669" t="s">
        <v>1180</v>
      </c>
      <c r="E669">
        <v>1</v>
      </c>
    </row>
    <row r="670" spans="1:5" x14ac:dyDescent="0.35">
      <c r="A670" t="s">
        <v>1983</v>
      </c>
      <c r="B670" t="s">
        <v>1984</v>
      </c>
      <c r="C670" t="s">
        <v>1898</v>
      </c>
      <c r="D670" t="s">
        <v>52</v>
      </c>
      <c r="E670">
        <v>1</v>
      </c>
    </row>
    <row r="671" spans="1:5" x14ac:dyDescent="0.35">
      <c r="A671" t="s">
        <v>1985</v>
      </c>
      <c r="B671" t="s">
        <v>1986</v>
      </c>
      <c r="C671" t="s">
        <v>1987</v>
      </c>
      <c r="D671" t="s">
        <v>96</v>
      </c>
      <c r="E671">
        <v>1</v>
      </c>
    </row>
    <row r="672" spans="1:5" x14ac:dyDescent="0.35">
      <c r="A672" t="s">
        <v>1988</v>
      </c>
      <c r="B672" t="s">
        <v>1989</v>
      </c>
      <c r="C672" t="s">
        <v>1990</v>
      </c>
      <c r="D672" t="s">
        <v>376</v>
      </c>
      <c r="E672">
        <v>1</v>
      </c>
    </row>
    <row r="673" spans="1:5" x14ac:dyDescent="0.35">
      <c r="A673" t="s">
        <v>1991</v>
      </c>
      <c r="B673" t="s">
        <v>1992</v>
      </c>
      <c r="C673" t="s">
        <v>1329</v>
      </c>
      <c r="D673" t="s">
        <v>345</v>
      </c>
      <c r="E673">
        <v>1</v>
      </c>
    </row>
    <row r="674" spans="1:5" x14ac:dyDescent="0.35">
      <c r="A674" t="s">
        <v>1993</v>
      </c>
      <c r="B674" t="s">
        <v>1994</v>
      </c>
      <c r="C674" t="s">
        <v>1898</v>
      </c>
      <c r="D674" t="s">
        <v>52</v>
      </c>
      <c r="E674">
        <v>1</v>
      </c>
    </row>
    <row r="675" spans="1:5" x14ac:dyDescent="0.35">
      <c r="A675" t="s">
        <v>1995</v>
      </c>
      <c r="B675" t="s">
        <v>1996</v>
      </c>
      <c r="C675" t="s">
        <v>1997</v>
      </c>
      <c r="D675" t="s">
        <v>376</v>
      </c>
      <c r="E675">
        <v>1</v>
      </c>
    </row>
    <row r="676" spans="1:5" x14ac:dyDescent="0.35">
      <c r="A676" t="s">
        <v>1998</v>
      </c>
      <c r="B676" t="s">
        <v>1999</v>
      </c>
      <c r="C676" t="s">
        <v>2000</v>
      </c>
      <c r="D676" t="s">
        <v>541</v>
      </c>
      <c r="E676">
        <v>1</v>
      </c>
    </row>
    <row r="677" spans="1:5" x14ac:dyDescent="0.35">
      <c r="A677" t="s">
        <v>2001</v>
      </c>
      <c r="B677" t="s">
        <v>2002</v>
      </c>
      <c r="C677" t="s">
        <v>1044</v>
      </c>
      <c r="D677" t="s">
        <v>345</v>
      </c>
      <c r="E677">
        <v>1</v>
      </c>
    </row>
    <row r="678" spans="1:5" x14ac:dyDescent="0.35">
      <c r="A678" t="s">
        <v>2003</v>
      </c>
      <c r="B678" t="s">
        <v>2004</v>
      </c>
      <c r="C678" t="s">
        <v>514</v>
      </c>
      <c r="D678" t="s">
        <v>345</v>
      </c>
      <c r="E678">
        <v>1</v>
      </c>
    </row>
    <row r="679" spans="1:5" x14ac:dyDescent="0.35">
      <c r="A679" t="s">
        <v>2005</v>
      </c>
      <c r="B679" t="s">
        <v>2006</v>
      </c>
      <c r="C679" t="s">
        <v>514</v>
      </c>
      <c r="D679" t="s">
        <v>345</v>
      </c>
      <c r="E679">
        <v>1</v>
      </c>
    </row>
    <row r="680" spans="1:5" x14ac:dyDescent="0.35">
      <c r="A680" t="s">
        <v>2007</v>
      </c>
      <c r="B680" t="s">
        <v>2008</v>
      </c>
      <c r="C680" t="s">
        <v>1044</v>
      </c>
      <c r="D680" t="s">
        <v>345</v>
      </c>
      <c r="E680">
        <v>1</v>
      </c>
    </row>
    <row r="681" spans="1:5" x14ac:dyDescent="0.35">
      <c r="A681" t="s">
        <v>2009</v>
      </c>
      <c r="B681" t="s">
        <v>2010</v>
      </c>
      <c r="C681" t="s">
        <v>2011</v>
      </c>
      <c r="D681" t="s">
        <v>345</v>
      </c>
      <c r="E681">
        <v>1</v>
      </c>
    </row>
    <row r="682" spans="1:5" x14ac:dyDescent="0.35">
      <c r="A682" t="s">
        <v>2012</v>
      </c>
      <c r="B682" t="s">
        <v>2013</v>
      </c>
      <c r="C682" t="s">
        <v>514</v>
      </c>
      <c r="D682" t="s">
        <v>345</v>
      </c>
      <c r="E682">
        <v>1</v>
      </c>
    </row>
    <row r="683" spans="1:5" x14ac:dyDescent="0.35">
      <c r="A683" t="s">
        <v>2014</v>
      </c>
      <c r="B683" t="s">
        <v>2015</v>
      </c>
      <c r="C683" t="s">
        <v>1903</v>
      </c>
      <c r="D683" t="s">
        <v>520</v>
      </c>
      <c r="E683">
        <v>1</v>
      </c>
    </row>
    <row r="684" spans="1:5" x14ac:dyDescent="0.35">
      <c r="A684" t="s">
        <v>2016</v>
      </c>
      <c r="B684" t="s">
        <v>2017</v>
      </c>
      <c r="C684" t="s">
        <v>1898</v>
      </c>
      <c r="D684" t="s">
        <v>52</v>
      </c>
      <c r="E684">
        <v>1</v>
      </c>
    </row>
    <row r="685" spans="1:5" x14ac:dyDescent="0.35">
      <c r="A685" t="s">
        <v>2018</v>
      </c>
      <c r="B685" t="s">
        <v>2019</v>
      </c>
      <c r="C685" t="s">
        <v>1873</v>
      </c>
      <c r="D685" t="s">
        <v>123</v>
      </c>
      <c r="E685">
        <v>1</v>
      </c>
    </row>
    <row r="686" spans="1:5" x14ac:dyDescent="0.35">
      <c r="A686" t="s">
        <v>2020</v>
      </c>
      <c r="B686" t="s">
        <v>2021</v>
      </c>
      <c r="C686" t="s">
        <v>774</v>
      </c>
      <c r="D686" t="s">
        <v>366</v>
      </c>
      <c r="E686">
        <v>1</v>
      </c>
    </row>
    <row r="687" spans="1:5" x14ac:dyDescent="0.35">
      <c r="A687" t="s">
        <v>2022</v>
      </c>
      <c r="B687" t="s">
        <v>2023</v>
      </c>
      <c r="C687" t="s">
        <v>1329</v>
      </c>
      <c r="D687" t="s">
        <v>345</v>
      </c>
      <c r="E687">
        <v>1</v>
      </c>
    </row>
    <row r="688" spans="1:5" x14ac:dyDescent="0.35">
      <c r="A688" t="s">
        <v>2024</v>
      </c>
      <c r="B688" t="s">
        <v>2025</v>
      </c>
      <c r="C688" t="s">
        <v>1329</v>
      </c>
      <c r="D688" t="s">
        <v>345</v>
      </c>
      <c r="E688">
        <v>1</v>
      </c>
    </row>
    <row r="689" spans="1:5" x14ac:dyDescent="0.35">
      <c r="A689" t="s">
        <v>2026</v>
      </c>
      <c r="B689" t="s">
        <v>2027</v>
      </c>
      <c r="C689" t="s">
        <v>2011</v>
      </c>
      <c r="D689" t="s">
        <v>345</v>
      </c>
      <c r="E689">
        <v>1</v>
      </c>
    </row>
    <row r="690" spans="1:5" x14ac:dyDescent="0.35">
      <c r="A690" t="s">
        <v>2028</v>
      </c>
      <c r="B690" t="s">
        <v>2029</v>
      </c>
      <c r="C690" t="s">
        <v>774</v>
      </c>
      <c r="D690" t="s">
        <v>366</v>
      </c>
      <c r="E690">
        <v>1</v>
      </c>
    </row>
    <row r="691" spans="1:5" x14ac:dyDescent="0.35">
      <c r="A691" t="s">
        <v>2030</v>
      </c>
      <c r="B691" t="s">
        <v>2031</v>
      </c>
      <c r="C691" t="s">
        <v>1329</v>
      </c>
      <c r="D691" t="s">
        <v>345</v>
      </c>
      <c r="E691">
        <v>1</v>
      </c>
    </row>
    <row r="692" spans="1:5" x14ac:dyDescent="0.35">
      <c r="A692" t="s">
        <v>2032</v>
      </c>
      <c r="B692" t="s">
        <v>2033</v>
      </c>
      <c r="C692" t="s">
        <v>1082</v>
      </c>
      <c r="D692" t="s">
        <v>345</v>
      </c>
      <c r="E692">
        <v>1</v>
      </c>
    </row>
    <row r="693" spans="1:5" x14ac:dyDescent="0.35">
      <c r="A693" t="s">
        <v>2034</v>
      </c>
      <c r="B693" t="s">
        <v>2035</v>
      </c>
      <c r="C693" t="s">
        <v>2036</v>
      </c>
      <c r="D693" t="s">
        <v>429</v>
      </c>
      <c r="E693">
        <v>1</v>
      </c>
    </row>
    <row r="694" spans="1:5" x14ac:dyDescent="0.35">
      <c r="A694" t="s">
        <v>2037</v>
      </c>
      <c r="B694" t="s">
        <v>2038</v>
      </c>
      <c r="C694" t="s">
        <v>2039</v>
      </c>
      <c r="D694" t="s">
        <v>1522</v>
      </c>
      <c r="E694">
        <v>1</v>
      </c>
    </row>
    <row r="695" spans="1:5" x14ac:dyDescent="0.35">
      <c r="A695" t="s">
        <v>2040</v>
      </c>
      <c r="B695" t="s">
        <v>2041</v>
      </c>
      <c r="C695" t="s">
        <v>1329</v>
      </c>
      <c r="D695" t="s">
        <v>345</v>
      </c>
      <c r="E695">
        <v>1</v>
      </c>
    </row>
    <row r="696" spans="1:5" x14ac:dyDescent="0.35">
      <c r="A696" t="s">
        <v>2042</v>
      </c>
      <c r="B696" t="s">
        <v>2043</v>
      </c>
      <c r="C696" t="s">
        <v>1953</v>
      </c>
      <c r="D696" t="s">
        <v>1954</v>
      </c>
      <c r="E696">
        <v>1</v>
      </c>
    </row>
    <row r="697" spans="1:5" x14ac:dyDescent="0.35">
      <c r="A697" t="s">
        <v>2044</v>
      </c>
      <c r="B697" t="s">
        <v>2045</v>
      </c>
      <c r="C697" t="s">
        <v>1329</v>
      </c>
      <c r="D697" t="s">
        <v>345</v>
      </c>
      <c r="E697">
        <v>1</v>
      </c>
    </row>
    <row r="698" spans="1:5" x14ac:dyDescent="0.35">
      <c r="A698" t="s">
        <v>2046</v>
      </c>
      <c r="B698" t="s">
        <v>2047</v>
      </c>
      <c r="C698" t="s">
        <v>1329</v>
      </c>
      <c r="D698" t="s">
        <v>345</v>
      </c>
      <c r="E698">
        <v>1</v>
      </c>
    </row>
    <row r="699" spans="1:5" x14ac:dyDescent="0.35">
      <c r="A699" t="s">
        <v>2048</v>
      </c>
      <c r="B699" t="s">
        <v>2049</v>
      </c>
      <c r="C699" t="s">
        <v>1329</v>
      </c>
      <c r="D699" t="s">
        <v>345</v>
      </c>
      <c r="E699">
        <v>1</v>
      </c>
    </row>
    <row r="700" spans="1:5" x14ac:dyDescent="0.35">
      <c r="A700" t="s">
        <v>2050</v>
      </c>
      <c r="B700" t="s">
        <v>2051</v>
      </c>
      <c r="C700" t="s">
        <v>1329</v>
      </c>
      <c r="D700" t="s">
        <v>345</v>
      </c>
      <c r="E700">
        <v>1</v>
      </c>
    </row>
    <row r="701" spans="1:5" x14ac:dyDescent="0.35">
      <c r="A701" t="s">
        <v>2052</v>
      </c>
      <c r="B701" t="s">
        <v>2053</v>
      </c>
      <c r="C701" t="s">
        <v>1329</v>
      </c>
      <c r="D701" t="s">
        <v>345</v>
      </c>
      <c r="E701">
        <v>1</v>
      </c>
    </row>
    <row r="702" spans="1:5" x14ac:dyDescent="0.35">
      <c r="A702" t="s">
        <v>2054</v>
      </c>
      <c r="B702" t="s">
        <v>2055</v>
      </c>
      <c r="C702" t="s">
        <v>2056</v>
      </c>
      <c r="D702" t="s">
        <v>84</v>
      </c>
      <c r="E702">
        <v>1</v>
      </c>
    </row>
    <row r="703" spans="1:5" x14ac:dyDescent="0.35">
      <c r="A703" t="s">
        <v>2057</v>
      </c>
      <c r="B703" t="s">
        <v>2058</v>
      </c>
      <c r="C703" t="s">
        <v>1329</v>
      </c>
      <c r="D703" t="s">
        <v>345</v>
      </c>
      <c r="E703">
        <v>1</v>
      </c>
    </row>
    <row r="704" spans="1:5" x14ac:dyDescent="0.35">
      <c r="A704" t="s">
        <v>2059</v>
      </c>
      <c r="B704" t="s">
        <v>2060</v>
      </c>
      <c r="C704" t="s">
        <v>1329</v>
      </c>
      <c r="D704" t="s">
        <v>345</v>
      </c>
      <c r="E704">
        <v>1</v>
      </c>
    </row>
    <row r="705" spans="1:5" x14ac:dyDescent="0.35">
      <c r="A705" t="s">
        <v>2061</v>
      </c>
      <c r="B705" t="s">
        <v>2062</v>
      </c>
      <c r="C705" t="s">
        <v>2063</v>
      </c>
      <c r="D705" t="s">
        <v>408</v>
      </c>
      <c r="E705">
        <v>1</v>
      </c>
    </row>
    <row r="706" spans="1:5" x14ac:dyDescent="0.35">
      <c r="A706" t="s">
        <v>2064</v>
      </c>
      <c r="B706" t="s">
        <v>2065</v>
      </c>
      <c r="C706" t="s">
        <v>1329</v>
      </c>
      <c r="D706" t="s">
        <v>345</v>
      </c>
      <c r="E706">
        <v>1</v>
      </c>
    </row>
    <row r="707" spans="1:5" x14ac:dyDescent="0.35">
      <c r="A707" t="s">
        <v>2066</v>
      </c>
      <c r="B707" t="s">
        <v>2067</v>
      </c>
      <c r="C707" t="s">
        <v>1329</v>
      </c>
      <c r="D707" t="s">
        <v>345</v>
      </c>
      <c r="E707">
        <v>1</v>
      </c>
    </row>
    <row r="708" spans="1:5" x14ac:dyDescent="0.35">
      <c r="A708" t="s">
        <v>2068</v>
      </c>
      <c r="B708" t="s">
        <v>2069</v>
      </c>
      <c r="C708" t="s">
        <v>1329</v>
      </c>
      <c r="D708" t="s">
        <v>345</v>
      </c>
      <c r="E708">
        <v>1</v>
      </c>
    </row>
    <row r="709" spans="1:5" x14ac:dyDescent="0.35">
      <c r="A709" t="s">
        <v>2070</v>
      </c>
      <c r="B709" t="s">
        <v>2071</v>
      </c>
      <c r="C709" t="s">
        <v>1329</v>
      </c>
      <c r="D709" t="s">
        <v>345</v>
      </c>
      <c r="E709">
        <v>1</v>
      </c>
    </row>
    <row r="710" spans="1:5" x14ac:dyDescent="0.35">
      <c r="A710" t="s">
        <v>2072</v>
      </c>
      <c r="B710" t="s">
        <v>2073</v>
      </c>
      <c r="C710" t="s">
        <v>774</v>
      </c>
      <c r="D710" t="s">
        <v>366</v>
      </c>
      <c r="E710">
        <v>1</v>
      </c>
    </row>
    <row r="711" spans="1:5" x14ac:dyDescent="0.35">
      <c r="A711" t="s">
        <v>2074</v>
      </c>
      <c r="B711" t="s">
        <v>2075</v>
      </c>
      <c r="C711" t="s">
        <v>958</v>
      </c>
      <c r="D711" t="s">
        <v>52</v>
      </c>
      <c r="E711">
        <v>1</v>
      </c>
    </row>
    <row r="712" spans="1:5" x14ac:dyDescent="0.35">
      <c r="A712" t="s">
        <v>2076</v>
      </c>
      <c r="B712" t="s">
        <v>2077</v>
      </c>
      <c r="C712" t="s">
        <v>514</v>
      </c>
      <c r="D712" t="s">
        <v>345</v>
      </c>
      <c r="E712">
        <v>1</v>
      </c>
    </row>
    <row r="713" spans="1:5" x14ac:dyDescent="0.35">
      <c r="A713" t="s">
        <v>2078</v>
      </c>
      <c r="B713" t="s">
        <v>2079</v>
      </c>
      <c r="C713" t="s">
        <v>514</v>
      </c>
      <c r="D713" t="s">
        <v>345</v>
      </c>
      <c r="E713">
        <v>1</v>
      </c>
    </row>
    <row r="714" spans="1:5" x14ac:dyDescent="0.35">
      <c r="A714" t="s">
        <v>2080</v>
      </c>
      <c r="B714" t="s">
        <v>2081</v>
      </c>
      <c r="C714" t="s">
        <v>514</v>
      </c>
      <c r="D714" t="s">
        <v>345</v>
      </c>
      <c r="E714">
        <v>1</v>
      </c>
    </row>
    <row r="715" spans="1:5" x14ac:dyDescent="0.35">
      <c r="A715" t="s">
        <v>2082</v>
      </c>
      <c r="B715" t="s">
        <v>2083</v>
      </c>
      <c r="C715" t="s">
        <v>514</v>
      </c>
      <c r="D715" t="s">
        <v>345</v>
      </c>
      <c r="E715">
        <v>1</v>
      </c>
    </row>
    <row r="716" spans="1:5" x14ac:dyDescent="0.35">
      <c r="A716" t="s">
        <v>2084</v>
      </c>
      <c r="B716" t="s">
        <v>2085</v>
      </c>
      <c r="C716" t="s">
        <v>2086</v>
      </c>
      <c r="D716" t="s">
        <v>96</v>
      </c>
      <c r="E716">
        <v>1</v>
      </c>
    </row>
    <row r="717" spans="1:5" x14ac:dyDescent="0.35">
      <c r="A717" t="s">
        <v>2087</v>
      </c>
      <c r="B717" t="s">
        <v>2088</v>
      </c>
      <c r="C717" t="s">
        <v>514</v>
      </c>
      <c r="D717" t="s">
        <v>345</v>
      </c>
      <c r="E717">
        <v>1</v>
      </c>
    </row>
    <row r="718" spans="1:5" x14ac:dyDescent="0.35">
      <c r="A718" t="s">
        <v>2089</v>
      </c>
      <c r="B718" t="s">
        <v>2090</v>
      </c>
      <c r="C718" t="s">
        <v>774</v>
      </c>
      <c r="D718" t="s">
        <v>366</v>
      </c>
      <c r="E718">
        <v>1</v>
      </c>
    </row>
    <row r="719" spans="1:5" x14ac:dyDescent="0.35">
      <c r="A719" t="s">
        <v>2091</v>
      </c>
      <c r="B719" t="s">
        <v>2092</v>
      </c>
      <c r="C719" t="s">
        <v>1329</v>
      </c>
      <c r="D719" t="s">
        <v>345</v>
      </c>
      <c r="E719">
        <v>1</v>
      </c>
    </row>
    <row r="720" spans="1:5" x14ac:dyDescent="0.35">
      <c r="A720" t="s">
        <v>2093</v>
      </c>
      <c r="B720" t="s">
        <v>2094</v>
      </c>
      <c r="C720" t="s">
        <v>2095</v>
      </c>
      <c r="D720" t="s">
        <v>84</v>
      </c>
      <c r="E720">
        <v>1</v>
      </c>
    </row>
    <row r="721" spans="1:5" x14ac:dyDescent="0.35">
      <c r="A721" t="s">
        <v>2096</v>
      </c>
      <c r="B721" t="s">
        <v>2097</v>
      </c>
      <c r="C721" t="s">
        <v>2098</v>
      </c>
      <c r="D721" t="s">
        <v>103</v>
      </c>
      <c r="E721">
        <v>1</v>
      </c>
    </row>
    <row r="722" spans="1:5" x14ac:dyDescent="0.35">
      <c r="A722" t="s">
        <v>2099</v>
      </c>
      <c r="B722" t="s">
        <v>2100</v>
      </c>
      <c r="C722" t="s">
        <v>1329</v>
      </c>
      <c r="D722" t="s">
        <v>345</v>
      </c>
      <c r="E722">
        <v>1</v>
      </c>
    </row>
    <row r="723" spans="1:5" x14ac:dyDescent="0.35">
      <c r="A723" t="s">
        <v>2101</v>
      </c>
      <c r="B723" t="s">
        <v>2102</v>
      </c>
      <c r="C723" t="s">
        <v>1044</v>
      </c>
      <c r="D723" t="s">
        <v>345</v>
      </c>
      <c r="E723">
        <v>1</v>
      </c>
    </row>
    <row r="724" spans="1:5" x14ac:dyDescent="0.35">
      <c r="A724" t="s">
        <v>2103</v>
      </c>
      <c r="B724" t="s">
        <v>2104</v>
      </c>
      <c r="C724" t="s">
        <v>2105</v>
      </c>
      <c r="D724" t="s">
        <v>178</v>
      </c>
      <c r="E724">
        <v>1</v>
      </c>
    </row>
    <row r="725" spans="1:5" x14ac:dyDescent="0.35">
      <c r="A725" t="s">
        <v>2106</v>
      </c>
      <c r="B725" t="s">
        <v>2107</v>
      </c>
      <c r="C725" t="s">
        <v>1269</v>
      </c>
      <c r="D725" t="s">
        <v>103</v>
      </c>
      <c r="E725">
        <v>1</v>
      </c>
    </row>
    <row r="726" spans="1:5" x14ac:dyDescent="0.35">
      <c r="A726" t="s">
        <v>2108</v>
      </c>
      <c r="B726" t="s">
        <v>2109</v>
      </c>
      <c r="C726" t="s">
        <v>859</v>
      </c>
      <c r="D726" t="s">
        <v>220</v>
      </c>
      <c r="E726">
        <v>1</v>
      </c>
    </row>
    <row r="727" spans="1:5" x14ac:dyDescent="0.35">
      <c r="A727" t="s">
        <v>2110</v>
      </c>
      <c r="B727" t="s">
        <v>2111</v>
      </c>
      <c r="C727" t="s">
        <v>488</v>
      </c>
      <c r="D727" t="s">
        <v>626</v>
      </c>
      <c r="E727">
        <v>1</v>
      </c>
    </row>
    <row r="728" spans="1:5" x14ac:dyDescent="0.35">
      <c r="A728" t="s">
        <v>2112</v>
      </c>
      <c r="B728" t="s">
        <v>2113</v>
      </c>
      <c r="C728" t="s">
        <v>1044</v>
      </c>
      <c r="D728" t="s">
        <v>345</v>
      </c>
      <c r="E728">
        <v>1</v>
      </c>
    </row>
    <row r="729" spans="1:5" x14ac:dyDescent="0.35">
      <c r="A729" t="s">
        <v>2114</v>
      </c>
      <c r="B729" t="s">
        <v>2115</v>
      </c>
      <c r="C729" t="s">
        <v>514</v>
      </c>
      <c r="D729" t="s">
        <v>345</v>
      </c>
      <c r="E729">
        <v>1</v>
      </c>
    </row>
    <row r="730" spans="1:5" x14ac:dyDescent="0.35">
      <c r="A730" t="s">
        <v>2116</v>
      </c>
      <c r="B730" t="s">
        <v>2117</v>
      </c>
      <c r="C730" t="s">
        <v>2118</v>
      </c>
      <c r="D730" t="s">
        <v>345</v>
      </c>
      <c r="E730">
        <v>1</v>
      </c>
    </row>
    <row r="731" spans="1:5" x14ac:dyDescent="0.35">
      <c r="A731" t="s">
        <v>2119</v>
      </c>
      <c r="B731" t="s">
        <v>2120</v>
      </c>
      <c r="C731" t="s">
        <v>1329</v>
      </c>
      <c r="D731" t="s">
        <v>345</v>
      </c>
      <c r="E731">
        <v>1</v>
      </c>
    </row>
    <row r="732" spans="1:5" x14ac:dyDescent="0.35">
      <c r="A732" t="s">
        <v>2121</v>
      </c>
      <c r="B732" t="s">
        <v>2122</v>
      </c>
      <c r="C732" t="s">
        <v>1329</v>
      </c>
      <c r="D732" t="s">
        <v>345</v>
      </c>
      <c r="E732">
        <v>1</v>
      </c>
    </row>
    <row r="733" spans="1:5" x14ac:dyDescent="0.35">
      <c r="A733" t="s">
        <v>2123</v>
      </c>
      <c r="B733" t="s">
        <v>2124</v>
      </c>
      <c r="C733" t="s">
        <v>1329</v>
      </c>
      <c r="D733" t="s">
        <v>345</v>
      </c>
      <c r="E733">
        <v>1</v>
      </c>
    </row>
    <row r="734" spans="1:5" x14ac:dyDescent="0.35">
      <c r="A734" t="s">
        <v>2125</v>
      </c>
      <c r="B734" t="s">
        <v>2126</v>
      </c>
      <c r="C734" t="s">
        <v>514</v>
      </c>
      <c r="D734" t="s">
        <v>345</v>
      </c>
      <c r="E734">
        <v>1</v>
      </c>
    </row>
    <row r="735" spans="1:5" x14ac:dyDescent="0.35">
      <c r="A735" t="s">
        <v>2127</v>
      </c>
      <c r="B735" t="s">
        <v>2128</v>
      </c>
      <c r="C735" t="s">
        <v>1329</v>
      </c>
      <c r="D735" t="s">
        <v>345</v>
      </c>
      <c r="E735">
        <v>1</v>
      </c>
    </row>
    <row r="736" spans="1:5" x14ac:dyDescent="0.35">
      <c r="A736" t="s">
        <v>2129</v>
      </c>
      <c r="B736" t="s">
        <v>2130</v>
      </c>
      <c r="C736" t="s">
        <v>1329</v>
      </c>
      <c r="D736" t="s">
        <v>345</v>
      </c>
      <c r="E736">
        <v>1</v>
      </c>
    </row>
    <row r="737" spans="1:5" x14ac:dyDescent="0.35">
      <c r="A737" t="s">
        <v>2131</v>
      </c>
      <c r="B737" t="s">
        <v>2132</v>
      </c>
      <c r="C737" t="s">
        <v>1873</v>
      </c>
      <c r="D737" t="s">
        <v>123</v>
      </c>
      <c r="E737">
        <v>1</v>
      </c>
    </row>
    <row r="738" spans="1:5" x14ac:dyDescent="0.35">
      <c r="A738" t="s">
        <v>2133</v>
      </c>
      <c r="B738" t="s">
        <v>2134</v>
      </c>
      <c r="C738" t="s">
        <v>1044</v>
      </c>
      <c r="D738" t="s">
        <v>345</v>
      </c>
      <c r="E738">
        <v>1</v>
      </c>
    </row>
    <row r="739" spans="1:5" x14ac:dyDescent="0.35">
      <c r="A739" t="s">
        <v>2135</v>
      </c>
      <c r="B739" t="s">
        <v>2136</v>
      </c>
      <c r="C739" t="s">
        <v>958</v>
      </c>
      <c r="D739" t="s">
        <v>52</v>
      </c>
      <c r="E739">
        <v>1</v>
      </c>
    </row>
    <row r="740" spans="1:5" x14ac:dyDescent="0.35">
      <c r="A740" t="s">
        <v>2137</v>
      </c>
      <c r="B740" t="s">
        <v>2138</v>
      </c>
      <c r="C740" t="s">
        <v>1044</v>
      </c>
      <c r="D740" t="s">
        <v>345</v>
      </c>
      <c r="E740">
        <v>1</v>
      </c>
    </row>
    <row r="741" spans="1:5" x14ac:dyDescent="0.35">
      <c r="A741" t="s">
        <v>2139</v>
      </c>
      <c r="B741" t="s">
        <v>2140</v>
      </c>
      <c r="C741" t="s">
        <v>1587</v>
      </c>
      <c r="D741" t="s">
        <v>220</v>
      </c>
      <c r="E741">
        <v>1</v>
      </c>
    </row>
    <row r="742" spans="1:5" x14ac:dyDescent="0.35">
      <c r="A742" t="s">
        <v>2141</v>
      </c>
      <c r="B742" t="s">
        <v>2142</v>
      </c>
      <c r="C742" t="s">
        <v>889</v>
      </c>
      <c r="D742" t="s">
        <v>349</v>
      </c>
      <c r="E742">
        <v>1</v>
      </c>
    </row>
    <row r="743" spans="1:5" x14ac:dyDescent="0.35">
      <c r="A743" t="s">
        <v>2143</v>
      </c>
      <c r="B743" t="s">
        <v>2144</v>
      </c>
      <c r="C743" t="s">
        <v>849</v>
      </c>
      <c r="D743" t="s">
        <v>52</v>
      </c>
      <c r="E743">
        <v>1</v>
      </c>
    </row>
    <row r="744" spans="1:5" x14ac:dyDescent="0.35">
      <c r="A744" t="s">
        <v>2145</v>
      </c>
      <c r="B744" t="s">
        <v>2146</v>
      </c>
      <c r="C744" t="s">
        <v>1329</v>
      </c>
      <c r="D744" t="s">
        <v>345</v>
      </c>
      <c r="E744">
        <v>1</v>
      </c>
    </row>
    <row r="745" spans="1:5" x14ac:dyDescent="0.35">
      <c r="A745" t="s">
        <v>2147</v>
      </c>
      <c r="B745" t="s">
        <v>2148</v>
      </c>
      <c r="C745" t="s">
        <v>1329</v>
      </c>
      <c r="D745" t="s">
        <v>345</v>
      </c>
      <c r="E745">
        <v>1</v>
      </c>
    </row>
    <row r="746" spans="1:5" x14ac:dyDescent="0.35">
      <c r="A746" t="s">
        <v>2149</v>
      </c>
      <c r="B746" t="s">
        <v>2150</v>
      </c>
      <c r="C746" t="s">
        <v>889</v>
      </c>
      <c r="D746" t="s">
        <v>349</v>
      </c>
      <c r="E746">
        <v>1</v>
      </c>
    </row>
    <row r="747" spans="1:5" x14ac:dyDescent="0.35">
      <c r="A747" t="s">
        <v>2151</v>
      </c>
      <c r="B747" t="s">
        <v>2152</v>
      </c>
      <c r="C747" t="s">
        <v>1873</v>
      </c>
      <c r="D747" t="s">
        <v>123</v>
      </c>
      <c r="E747">
        <v>1</v>
      </c>
    </row>
    <row r="748" spans="1:5" x14ac:dyDescent="0.35">
      <c r="A748" t="s">
        <v>2153</v>
      </c>
      <c r="B748" t="s">
        <v>2154</v>
      </c>
      <c r="C748" t="s">
        <v>425</v>
      </c>
      <c r="D748" t="s">
        <v>349</v>
      </c>
      <c r="E748">
        <v>1</v>
      </c>
    </row>
    <row r="749" spans="1:5" x14ac:dyDescent="0.35">
      <c r="A749" t="s">
        <v>2155</v>
      </c>
      <c r="B749" t="s">
        <v>2156</v>
      </c>
      <c r="C749" t="s">
        <v>1329</v>
      </c>
      <c r="D749" t="s">
        <v>345</v>
      </c>
      <c r="E749">
        <v>1</v>
      </c>
    </row>
    <row r="750" spans="1:5" x14ac:dyDescent="0.35">
      <c r="A750" t="s">
        <v>2157</v>
      </c>
      <c r="B750" t="s">
        <v>2158</v>
      </c>
      <c r="C750" t="s">
        <v>1329</v>
      </c>
      <c r="D750" t="s">
        <v>345</v>
      </c>
      <c r="E750">
        <v>1</v>
      </c>
    </row>
    <row r="751" spans="1:5" x14ac:dyDescent="0.35">
      <c r="A751" t="s">
        <v>2159</v>
      </c>
      <c r="B751" t="s">
        <v>2160</v>
      </c>
      <c r="C751" t="s">
        <v>358</v>
      </c>
      <c r="D751" t="s">
        <v>349</v>
      </c>
      <c r="E751">
        <v>1</v>
      </c>
    </row>
    <row r="752" spans="1:5" x14ac:dyDescent="0.35">
      <c r="A752" t="s">
        <v>2161</v>
      </c>
      <c r="B752" t="s">
        <v>2162</v>
      </c>
      <c r="C752" t="s">
        <v>1329</v>
      </c>
      <c r="D752" t="s">
        <v>345</v>
      </c>
      <c r="E752">
        <v>1</v>
      </c>
    </row>
    <row r="753" spans="1:5" x14ac:dyDescent="0.35">
      <c r="A753" t="s">
        <v>2163</v>
      </c>
      <c r="B753" t="s">
        <v>2164</v>
      </c>
      <c r="C753" t="s">
        <v>2165</v>
      </c>
      <c r="D753" t="s">
        <v>103</v>
      </c>
      <c r="E753">
        <v>1</v>
      </c>
    </row>
    <row r="754" spans="1:5" x14ac:dyDescent="0.35">
      <c r="A754" t="s">
        <v>2166</v>
      </c>
      <c r="B754" t="s">
        <v>2167</v>
      </c>
      <c r="C754" t="s">
        <v>889</v>
      </c>
      <c r="D754" t="s">
        <v>349</v>
      </c>
      <c r="E754">
        <v>1</v>
      </c>
    </row>
    <row r="755" spans="1:5" x14ac:dyDescent="0.35">
      <c r="A755" t="s">
        <v>2168</v>
      </c>
      <c r="B755" t="s">
        <v>2169</v>
      </c>
      <c r="C755" t="s">
        <v>1329</v>
      </c>
      <c r="D755" t="s">
        <v>345</v>
      </c>
      <c r="E755">
        <v>1</v>
      </c>
    </row>
    <row r="756" spans="1:5" x14ac:dyDescent="0.35">
      <c r="A756" t="s">
        <v>2170</v>
      </c>
      <c r="B756" t="s">
        <v>2171</v>
      </c>
      <c r="C756" t="s">
        <v>1329</v>
      </c>
      <c r="D756" t="s">
        <v>345</v>
      </c>
      <c r="E756">
        <v>1</v>
      </c>
    </row>
    <row r="757" spans="1:5" x14ac:dyDescent="0.35">
      <c r="A757" t="s">
        <v>2172</v>
      </c>
      <c r="B757" t="s">
        <v>2173</v>
      </c>
      <c r="C757" t="s">
        <v>2174</v>
      </c>
      <c r="D757" t="s">
        <v>362</v>
      </c>
      <c r="E757">
        <v>1</v>
      </c>
    </row>
    <row r="758" spans="1:5" x14ac:dyDescent="0.35">
      <c r="A758" t="s">
        <v>2175</v>
      </c>
      <c r="B758" t="s">
        <v>2176</v>
      </c>
      <c r="C758" t="s">
        <v>2177</v>
      </c>
      <c r="D758" t="s">
        <v>362</v>
      </c>
      <c r="E758">
        <v>1</v>
      </c>
    </row>
    <row r="759" spans="1:5" x14ac:dyDescent="0.35">
      <c r="A759" t="s">
        <v>2178</v>
      </c>
      <c r="B759" t="s">
        <v>2179</v>
      </c>
      <c r="C759" t="s">
        <v>889</v>
      </c>
      <c r="D759" t="s">
        <v>349</v>
      </c>
      <c r="E759">
        <v>1</v>
      </c>
    </row>
    <row r="760" spans="1:5" x14ac:dyDescent="0.35">
      <c r="A760" t="s">
        <v>2180</v>
      </c>
      <c r="B760" t="s">
        <v>2181</v>
      </c>
      <c r="C760" t="s">
        <v>1329</v>
      </c>
      <c r="D760" t="s">
        <v>345</v>
      </c>
      <c r="E760">
        <v>1</v>
      </c>
    </row>
    <row r="761" spans="1:5" x14ac:dyDescent="0.35">
      <c r="A761" t="s">
        <v>2182</v>
      </c>
      <c r="B761" t="s">
        <v>2183</v>
      </c>
      <c r="C761" t="s">
        <v>1906</v>
      </c>
      <c r="D761" t="s">
        <v>408</v>
      </c>
      <c r="E761">
        <v>1</v>
      </c>
    </row>
    <row r="762" spans="1:5" x14ac:dyDescent="0.35">
      <c r="A762" t="s">
        <v>2184</v>
      </c>
      <c r="B762" t="s">
        <v>2185</v>
      </c>
      <c r="C762" t="s">
        <v>1906</v>
      </c>
      <c r="D762" t="s">
        <v>52</v>
      </c>
      <c r="E762">
        <v>1</v>
      </c>
    </row>
    <row r="763" spans="1:5" x14ac:dyDescent="0.35">
      <c r="A763" t="s">
        <v>2186</v>
      </c>
      <c r="B763" t="s">
        <v>2187</v>
      </c>
      <c r="C763" t="s">
        <v>1906</v>
      </c>
      <c r="D763" t="s">
        <v>220</v>
      </c>
      <c r="E763">
        <v>1</v>
      </c>
    </row>
    <row r="764" spans="1:5" x14ac:dyDescent="0.35">
      <c r="A764" t="s">
        <v>2188</v>
      </c>
      <c r="B764" t="s">
        <v>2189</v>
      </c>
      <c r="C764" t="s">
        <v>529</v>
      </c>
      <c r="D764" t="s">
        <v>362</v>
      </c>
      <c r="E764">
        <v>1</v>
      </c>
    </row>
    <row r="765" spans="1:5" x14ac:dyDescent="0.35">
      <c r="A765" t="s">
        <v>2190</v>
      </c>
      <c r="B765" t="s">
        <v>2191</v>
      </c>
      <c r="C765" t="s">
        <v>889</v>
      </c>
      <c r="D765" t="s">
        <v>349</v>
      </c>
      <c r="E765">
        <v>1</v>
      </c>
    </row>
    <row r="766" spans="1:5" x14ac:dyDescent="0.35">
      <c r="A766" t="s">
        <v>2192</v>
      </c>
      <c r="B766" t="s">
        <v>2193</v>
      </c>
      <c r="C766" t="s">
        <v>488</v>
      </c>
      <c r="D766" t="s">
        <v>626</v>
      </c>
      <c r="E766">
        <v>1</v>
      </c>
    </row>
    <row r="767" spans="1:5" x14ac:dyDescent="0.35">
      <c r="A767" t="s">
        <v>2194</v>
      </c>
      <c r="B767" t="s">
        <v>2195</v>
      </c>
      <c r="C767" t="s">
        <v>1329</v>
      </c>
      <c r="D767" t="s">
        <v>345</v>
      </c>
      <c r="E767">
        <v>1</v>
      </c>
    </row>
    <row r="768" spans="1:5" x14ac:dyDescent="0.35">
      <c r="A768" t="s">
        <v>2196</v>
      </c>
      <c r="B768" t="s">
        <v>2197</v>
      </c>
      <c r="C768" t="s">
        <v>1329</v>
      </c>
      <c r="D768" t="s">
        <v>345</v>
      </c>
      <c r="E768">
        <v>1</v>
      </c>
    </row>
    <row r="769" spans="1:5" x14ac:dyDescent="0.35">
      <c r="A769" t="s">
        <v>2198</v>
      </c>
      <c r="B769" t="s">
        <v>2199</v>
      </c>
      <c r="C769" t="s">
        <v>1329</v>
      </c>
      <c r="D769" t="s">
        <v>345</v>
      </c>
      <c r="E769">
        <v>1</v>
      </c>
    </row>
    <row r="770" spans="1:5" x14ac:dyDescent="0.35">
      <c r="A770" t="s">
        <v>2200</v>
      </c>
      <c r="B770" t="s">
        <v>2201</v>
      </c>
      <c r="C770" t="s">
        <v>1329</v>
      </c>
      <c r="D770" t="s">
        <v>345</v>
      </c>
      <c r="E770">
        <v>1</v>
      </c>
    </row>
    <row r="771" spans="1:5" x14ac:dyDescent="0.35">
      <c r="A771" t="s">
        <v>2202</v>
      </c>
      <c r="B771" t="s">
        <v>2203</v>
      </c>
      <c r="C771" t="s">
        <v>1329</v>
      </c>
      <c r="D771" t="s">
        <v>345</v>
      </c>
      <c r="E771">
        <v>1</v>
      </c>
    </row>
    <row r="772" spans="1:5" x14ac:dyDescent="0.35">
      <c r="A772" t="s">
        <v>2204</v>
      </c>
      <c r="B772" t="s">
        <v>2205</v>
      </c>
      <c r="C772" t="s">
        <v>1903</v>
      </c>
      <c r="D772" t="s">
        <v>520</v>
      </c>
      <c r="E772">
        <v>1</v>
      </c>
    </row>
    <row r="773" spans="1:5" x14ac:dyDescent="0.35">
      <c r="A773" t="s">
        <v>2206</v>
      </c>
      <c r="B773" t="s">
        <v>2207</v>
      </c>
      <c r="C773" t="s">
        <v>1903</v>
      </c>
      <c r="D773" t="s">
        <v>1522</v>
      </c>
      <c r="E773">
        <v>1</v>
      </c>
    </row>
    <row r="774" spans="1:5" x14ac:dyDescent="0.35">
      <c r="A774" t="s">
        <v>2208</v>
      </c>
      <c r="B774" t="s">
        <v>2209</v>
      </c>
      <c r="C774" t="s">
        <v>1885</v>
      </c>
      <c r="D774" t="s">
        <v>408</v>
      </c>
      <c r="E774">
        <v>1</v>
      </c>
    </row>
    <row r="775" spans="1:5" x14ac:dyDescent="0.35">
      <c r="A775" t="s">
        <v>2210</v>
      </c>
      <c r="B775" t="s">
        <v>2211</v>
      </c>
      <c r="C775" t="s">
        <v>1903</v>
      </c>
      <c r="D775" t="s">
        <v>1522</v>
      </c>
      <c r="E775">
        <v>1</v>
      </c>
    </row>
    <row r="776" spans="1:5" x14ac:dyDescent="0.35">
      <c r="A776" t="s">
        <v>2212</v>
      </c>
      <c r="B776" t="s">
        <v>2213</v>
      </c>
      <c r="C776" t="s">
        <v>1903</v>
      </c>
      <c r="D776" t="s">
        <v>520</v>
      </c>
      <c r="E776">
        <v>1</v>
      </c>
    </row>
    <row r="777" spans="1:5" x14ac:dyDescent="0.35">
      <c r="A777" t="s">
        <v>2214</v>
      </c>
      <c r="B777" t="s">
        <v>2215</v>
      </c>
      <c r="C777" t="s">
        <v>1789</v>
      </c>
      <c r="D777" t="s">
        <v>541</v>
      </c>
      <c r="E777">
        <v>1</v>
      </c>
    </row>
    <row r="778" spans="1:5" x14ac:dyDescent="0.35">
      <c r="A778" t="s">
        <v>2216</v>
      </c>
      <c r="B778" t="s">
        <v>2217</v>
      </c>
      <c r="C778" t="s">
        <v>2000</v>
      </c>
      <c r="D778" t="s">
        <v>541</v>
      </c>
      <c r="E778">
        <v>1</v>
      </c>
    </row>
    <row r="779" spans="1:5" x14ac:dyDescent="0.35">
      <c r="A779" t="s">
        <v>2218</v>
      </c>
      <c r="B779" t="s">
        <v>2219</v>
      </c>
      <c r="C779" t="s">
        <v>2220</v>
      </c>
      <c r="D779" t="s">
        <v>541</v>
      </c>
      <c r="E779">
        <v>1</v>
      </c>
    </row>
    <row r="780" spans="1:5" x14ac:dyDescent="0.35">
      <c r="A780" t="s">
        <v>2221</v>
      </c>
      <c r="B780" t="s">
        <v>2222</v>
      </c>
      <c r="C780" t="s">
        <v>1329</v>
      </c>
      <c r="D780" t="s">
        <v>345</v>
      </c>
      <c r="E780">
        <v>1</v>
      </c>
    </row>
    <row r="781" spans="1:5" x14ac:dyDescent="0.35">
      <c r="A781" t="s">
        <v>2223</v>
      </c>
      <c r="B781" t="s">
        <v>2224</v>
      </c>
      <c r="C781" t="s">
        <v>1775</v>
      </c>
      <c r="D781" t="s">
        <v>92</v>
      </c>
      <c r="E781">
        <v>1</v>
      </c>
    </row>
    <row r="782" spans="1:5" x14ac:dyDescent="0.35">
      <c r="A782" t="s">
        <v>2225</v>
      </c>
      <c r="B782" t="s">
        <v>2226</v>
      </c>
      <c r="C782" t="s">
        <v>1329</v>
      </c>
      <c r="D782" t="s">
        <v>345</v>
      </c>
      <c r="E782">
        <v>1</v>
      </c>
    </row>
    <row r="783" spans="1:5" x14ac:dyDescent="0.35">
      <c r="A783" t="s">
        <v>2227</v>
      </c>
      <c r="B783" t="s">
        <v>2228</v>
      </c>
      <c r="C783" t="s">
        <v>1367</v>
      </c>
      <c r="D783" t="s">
        <v>237</v>
      </c>
      <c r="E783">
        <v>1</v>
      </c>
    </row>
    <row r="784" spans="1:5" x14ac:dyDescent="0.35">
      <c r="A784" t="s">
        <v>2229</v>
      </c>
      <c r="B784" t="s">
        <v>2230</v>
      </c>
      <c r="C784" t="s">
        <v>1898</v>
      </c>
      <c r="D784" t="s">
        <v>52</v>
      </c>
      <c r="E784">
        <v>1</v>
      </c>
    </row>
    <row r="785" spans="1:5" x14ac:dyDescent="0.35">
      <c r="A785" t="s">
        <v>2231</v>
      </c>
      <c r="B785" t="s">
        <v>2232</v>
      </c>
      <c r="C785" t="s">
        <v>534</v>
      </c>
      <c r="D785" t="s">
        <v>429</v>
      </c>
      <c r="E785">
        <v>1</v>
      </c>
    </row>
    <row r="786" spans="1:5" x14ac:dyDescent="0.35">
      <c r="A786" t="s">
        <v>2233</v>
      </c>
      <c r="B786" t="s">
        <v>2234</v>
      </c>
      <c r="C786" t="s">
        <v>358</v>
      </c>
      <c r="D786" t="s">
        <v>349</v>
      </c>
      <c r="E786">
        <v>1</v>
      </c>
    </row>
    <row r="787" spans="1:5" x14ac:dyDescent="0.35">
      <c r="A787" t="s">
        <v>2235</v>
      </c>
      <c r="B787" t="s">
        <v>2236</v>
      </c>
      <c r="C787" t="s">
        <v>488</v>
      </c>
      <c r="D787" t="s">
        <v>626</v>
      </c>
      <c r="E787">
        <v>1</v>
      </c>
    </row>
    <row r="788" spans="1:5" x14ac:dyDescent="0.35">
      <c r="A788" t="s">
        <v>2237</v>
      </c>
      <c r="B788" t="s">
        <v>2238</v>
      </c>
      <c r="C788" t="s">
        <v>488</v>
      </c>
      <c r="D788" t="s">
        <v>626</v>
      </c>
      <c r="E788">
        <v>1</v>
      </c>
    </row>
    <row r="789" spans="1:5" x14ac:dyDescent="0.35">
      <c r="A789" t="s">
        <v>2239</v>
      </c>
      <c r="B789" t="s">
        <v>2240</v>
      </c>
      <c r="C789" t="s">
        <v>2241</v>
      </c>
      <c r="D789" t="s">
        <v>626</v>
      </c>
      <c r="E789">
        <v>1</v>
      </c>
    </row>
    <row r="790" spans="1:5" x14ac:dyDescent="0.35">
      <c r="A790" t="s">
        <v>2242</v>
      </c>
      <c r="B790" t="s">
        <v>2243</v>
      </c>
      <c r="C790" t="s">
        <v>2244</v>
      </c>
      <c r="D790" t="s">
        <v>556</v>
      </c>
      <c r="E790">
        <v>1</v>
      </c>
    </row>
    <row r="791" spans="1:5" x14ac:dyDescent="0.35">
      <c r="A791" t="s">
        <v>2245</v>
      </c>
      <c r="B791" t="s">
        <v>2246</v>
      </c>
      <c r="C791" t="s">
        <v>2247</v>
      </c>
      <c r="D791" t="s">
        <v>84</v>
      </c>
      <c r="E791">
        <v>1</v>
      </c>
    </row>
    <row r="792" spans="1:5" x14ac:dyDescent="0.35">
      <c r="A792" t="s">
        <v>2248</v>
      </c>
      <c r="B792" t="s">
        <v>2249</v>
      </c>
      <c r="C792" t="s">
        <v>1318</v>
      </c>
      <c r="D792" t="s">
        <v>220</v>
      </c>
      <c r="E792">
        <v>1</v>
      </c>
    </row>
    <row r="793" spans="1:5" x14ac:dyDescent="0.35">
      <c r="A793" t="s">
        <v>2250</v>
      </c>
      <c r="B793" t="s">
        <v>2251</v>
      </c>
      <c r="C793" t="s">
        <v>1269</v>
      </c>
      <c r="D793" t="s">
        <v>103</v>
      </c>
      <c r="E793">
        <v>1</v>
      </c>
    </row>
    <row r="794" spans="1:5" x14ac:dyDescent="0.35">
      <c r="A794" t="s">
        <v>2252</v>
      </c>
      <c r="B794" t="s">
        <v>2253</v>
      </c>
      <c r="C794" t="s">
        <v>1909</v>
      </c>
      <c r="D794" t="s">
        <v>111</v>
      </c>
      <c r="E794">
        <v>1</v>
      </c>
    </row>
    <row r="795" spans="1:5" x14ac:dyDescent="0.35">
      <c r="A795" t="s">
        <v>2254</v>
      </c>
      <c r="B795" t="s">
        <v>2255</v>
      </c>
      <c r="C795" t="s">
        <v>2256</v>
      </c>
      <c r="D795" t="s">
        <v>96</v>
      </c>
      <c r="E795">
        <v>1</v>
      </c>
    </row>
    <row r="796" spans="1:5" x14ac:dyDescent="0.35">
      <c r="A796" t="s">
        <v>2257</v>
      </c>
      <c r="B796" t="s">
        <v>2258</v>
      </c>
      <c r="C796" t="s">
        <v>2241</v>
      </c>
      <c r="D796" t="s">
        <v>626</v>
      </c>
      <c r="E796">
        <v>1</v>
      </c>
    </row>
    <row r="797" spans="1:5" x14ac:dyDescent="0.35">
      <c r="A797" t="s">
        <v>2259</v>
      </c>
      <c r="B797" t="s">
        <v>2260</v>
      </c>
      <c r="C797" t="s">
        <v>889</v>
      </c>
      <c r="D797" t="s">
        <v>349</v>
      </c>
      <c r="E797">
        <v>1</v>
      </c>
    </row>
    <row r="798" spans="1:5" x14ac:dyDescent="0.35">
      <c r="A798" t="s">
        <v>2261</v>
      </c>
      <c r="B798" t="s">
        <v>2262</v>
      </c>
      <c r="C798" t="s">
        <v>488</v>
      </c>
      <c r="D798" t="s">
        <v>626</v>
      </c>
      <c r="E798">
        <v>1</v>
      </c>
    </row>
    <row r="799" spans="1:5" x14ac:dyDescent="0.35">
      <c r="A799" t="s">
        <v>2263</v>
      </c>
      <c r="B799" t="s">
        <v>2264</v>
      </c>
      <c r="C799" t="s">
        <v>1909</v>
      </c>
      <c r="D799" t="s">
        <v>111</v>
      </c>
      <c r="E799">
        <v>1</v>
      </c>
    </row>
    <row r="800" spans="1:5" x14ac:dyDescent="0.35">
      <c r="A800" t="s">
        <v>2265</v>
      </c>
      <c r="B800" t="s">
        <v>2266</v>
      </c>
      <c r="C800" t="s">
        <v>2267</v>
      </c>
      <c r="D800" t="s">
        <v>84</v>
      </c>
      <c r="E800">
        <v>1</v>
      </c>
    </row>
    <row r="801" spans="1:5" x14ac:dyDescent="0.35">
      <c r="A801" t="s">
        <v>2268</v>
      </c>
      <c r="B801" t="s">
        <v>2269</v>
      </c>
      <c r="C801" t="s">
        <v>2270</v>
      </c>
      <c r="D801" t="s">
        <v>103</v>
      </c>
      <c r="E801">
        <v>1</v>
      </c>
    </row>
    <row r="802" spans="1:5" x14ac:dyDescent="0.35">
      <c r="A802" t="s">
        <v>2271</v>
      </c>
      <c r="B802" t="s">
        <v>2272</v>
      </c>
      <c r="C802" t="s">
        <v>889</v>
      </c>
      <c r="D802" t="s">
        <v>349</v>
      </c>
      <c r="E802">
        <v>1</v>
      </c>
    </row>
    <row r="803" spans="1:5" x14ac:dyDescent="0.35">
      <c r="A803" t="s">
        <v>2273</v>
      </c>
      <c r="B803" t="s">
        <v>2274</v>
      </c>
      <c r="C803" t="s">
        <v>2241</v>
      </c>
      <c r="D803" t="s">
        <v>626</v>
      </c>
      <c r="E803">
        <v>1</v>
      </c>
    </row>
    <row r="804" spans="1:5" x14ac:dyDescent="0.35">
      <c r="A804" t="s">
        <v>2275</v>
      </c>
      <c r="B804" t="s">
        <v>2276</v>
      </c>
      <c r="C804" t="s">
        <v>398</v>
      </c>
      <c r="D804" t="s">
        <v>349</v>
      </c>
      <c r="E804">
        <v>1</v>
      </c>
    </row>
    <row r="805" spans="1:5" x14ac:dyDescent="0.35">
      <c r="A805" t="s">
        <v>2277</v>
      </c>
      <c r="B805" t="s">
        <v>2278</v>
      </c>
      <c r="C805" t="s">
        <v>1329</v>
      </c>
      <c r="D805" t="s">
        <v>345</v>
      </c>
      <c r="E805">
        <v>1</v>
      </c>
    </row>
    <row r="806" spans="1:5" x14ac:dyDescent="0.35">
      <c r="A806" t="s">
        <v>2279</v>
      </c>
      <c r="B806" t="s">
        <v>2280</v>
      </c>
      <c r="C806" t="s">
        <v>1266</v>
      </c>
      <c r="D806" t="s">
        <v>111</v>
      </c>
      <c r="E806">
        <v>1</v>
      </c>
    </row>
    <row r="807" spans="1:5" x14ac:dyDescent="0.35">
      <c r="A807" t="s">
        <v>2281</v>
      </c>
      <c r="B807" t="s">
        <v>2282</v>
      </c>
      <c r="C807" t="s">
        <v>2283</v>
      </c>
      <c r="D807" t="s">
        <v>220</v>
      </c>
      <c r="E807">
        <v>1</v>
      </c>
    </row>
    <row r="808" spans="1:5" x14ac:dyDescent="0.35">
      <c r="A808" t="s">
        <v>2284</v>
      </c>
      <c r="B808" t="s">
        <v>2285</v>
      </c>
      <c r="C808" t="s">
        <v>2286</v>
      </c>
      <c r="D808" t="s">
        <v>626</v>
      </c>
      <c r="E808">
        <v>1</v>
      </c>
    </row>
    <row r="809" spans="1:5" x14ac:dyDescent="0.35">
      <c r="A809" t="s">
        <v>2287</v>
      </c>
      <c r="B809" t="s">
        <v>2288</v>
      </c>
      <c r="C809" t="s">
        <v>2286</v>
      </c>
      <c r="D809" t="s">
        <v>626</v>
      </c>
      <c r="E809">
        <v>1</v>
      </c>
    </row>
    <row r="810" spans="1:5" x14ac:dyDescent="0.35">
      <c r="A810" t="s">
        <v>2289</v>
      </c>
      <c r="B810" t="s">
        <v>2290</v>
      </c>
      <c r="C810" t="s">
        <v>2286</v>
      </c>
      <c r="D810" t="s">
        <v>626</v>
      </c>
      <c r="E810">
        <v>1</v>
      </c>
    </row>
    <row r="811" spans="1:5" x14ac:dyDescent="0.35">
      <c r="A811" t="s">
        <v>2291</v>
      </c>
      <c r="B811" t="s">
        <v>2292</v>
      </c>
      <c r="C811" t="s">
        <v>1329</v>
      </c>
      <c r="D811" t="s">
        <v>345</v>
      </c>
      <c r="E811">
        <v>1</v>
      </c>
    </row>
    <row r="812" spans="1:5" x14ac:dyDescent="0.35">
      <c r="A812" t="s">
        <v>2293</v>
      </c>
      <c r="B812" t="s">
        <v>2294</v>
      </c>
      <c r="C812" t="s">
        <v>2286</v>
      </c>
      <c r="D812" t="s">
        <v>626</v>
      </c>
      <c r="E812">
        <v>1</v>
      </c>
    </row>
    <row r="813" spans="1:5" x14ac:dyDescent="0.35">
      <c r="A813" t="s">
        <v>2295</v>
      </c>
      <c r="B813" t="s">
        <v>2296</v>
      </c>
      <c r="C813" t="s">
        <v>937</v>
      </c>
      <c r="D813" t="s">
        <v>349</v>
      </c>
      <c r="E813">
        <v>1</v>
      </c>
    </row>
    <row r="814" spans="1:5" x14ac:dyDescent="0.35">
      <c r="A814" t="s">
        <v>2297</v>
      </c>
      <c r="B814" t="s">
        <v>2298</v>
      </c>
      <c r="C814" t="s">
        <v>889</v>
      </c>
      <c r="D814" t="s">
        <v>349</v>
      </c>
      <c r="E814">
        <v>1</v>
      </c>
    </row>
    <row r="815" spans="1:5" x14ac:dyDescent="0.35">
      <c r="A815" t="s">
        <v>2299</v>
      </c>
      <c r="B815" t="s">
        <v>2300</v>
      </c>
      <c r="C815" t="s">
        <v>358</v>
      </c>
      <c r="D815" t="s">
        <v>349</v>
      </c>
      <c r="E815">
        <v>1</v>
      </c>
    </row>
    <row r="816" spans="1:5" x14ac:dyDescent="0.35">
      <c r="A816" t="s">
        <v>2301</v>
      </c>
      <c r="B816" t="s">
        <v>2302</v>
      </c>
      <c r="C816" t="s">
        <v>488</v>
      </c>
      <c r="D816" t="s">
        <v>626</v>
      </c>
      <c r="E816">
        <v>1</v>
      </c>
    </row>
    <row r="817" spans="1:5" x14ac:dyDescent="0.35">
      <c r="A817" t="s">
        <v>2303</v>
      </c>
      <c r="B817" t="s">
        <v>2304</v>
      </c>
      <c r="C817" t="s">
        <v>937</v>
      </c>
      <c r="D817" t="s">
        <v>349</v>
      </c>
      <c r="E817">
        <v>1</v>
      </c>
    </row>
    <row r="818" spans="1:5" x14ac:dyDescent="0.35">
      <c r="A818" t="s">
        <v>2305</v>
      </c>
      <c r="B818" t="s">
        <v>2306</v>
      </c>
      <c r="C818" t="s">
        <v>534</v>
      </c>
      <c r="D818" t="s">
        <v>158</v>
      </c>
      <c r="E818">
        <v>1</v>
      </c>
    </row>
    <row r="819" spans="1:5" x14ac:dyDescent="0.35">
      <c r="A819" t="s">
        <v>2307</v>
      </c>
      <c r="B819" t="s">
        <v>2308</v>
      </c>
      <c r="C819" t="s">
        <v>2309</v>
      </c>
      <c r="D819" t="s">
        <v>376</v>
      </c>
      <c r="E819">
        <v>1</v>
      </c>
    </row>
    <row r="820" spans="1:5" x14ac:dyDescent="0.35">
      <c r="A820" t="s">
        <v>2310</v>
      </c>
      <c r="B820" t="s">
        <v>2311</v>
      </c>
      <c r="C820" t="s">
        <v>1329</v>
      </c>
      <c r="D820" t="s">
        <v>349</v>
      </c>
      <c r="E820">
        <v>1</v>
      </c>
    </row>
    <row r="821" spans="1:5" x14ac:dyDescent="0.35">
      <c r="A821" t="s">
        <v>2312</v>
      </c>
      <c r="B821" t="s">
        <v>2313</v>
      </c>
      <c r="C821" t="s">
        <v>534</v>
      </c>
      <c r="D821" t="s">
        <v>429</v>
      </c>
      <c r="E821">
        <v>1</v>
      </c>
    </row>
    <row r="822" spans="1:5" x14ac:dyDescent="0.35">
      <c r="A822" t="s">
        <v>2314</v>
      </c>
      <c r="B822" t="s">
        <v>2315</v>
      </c>
      <c r="C822" t="s">
        <v>2316</v>
      </c>
      <c r="D822" t="s">
        <v>103</v>
      </c>
      <c r="E822">
        <v>1</v>
      </c>
    </row>
    <row r="823" spans="1:5" x14ac:dyDescent="0.35">
      <c r="A823" t="s">
        <v>2317</v>
      </c>
      <c r="B823" t="s">
        <v>2318</v>
      </c>
      <c r="C823" t="s">
        <v>889</v>
      </c>
      <c r="D823" t="s">
        <v>349</v>
      </c>
      <c r="E823">
        <v>1</v>
      </c>
    </row>
    <row r="824" spans="1:5" x14ac:dyDescent="0.35">
      <c r="A824" t="s">
        <v>2319</v>
      </c>
      <c r="B824" t="s">
        <v>2320</v>
      </c>
      <c r="C824" t="s">
        <v>483</v>
      </c>
      <c r="D824" t="s">
        <v>345</v>
      </c>
      <c r="E824">
        <v>1</v>
      </c>
    </row>
    <row r="825" spans="1:5" x14ac:dyDescent="0.35">
      <c r="A825" t="s">
        <v>2321</v>
      </c>
      <c r="B825" t="s">
        <v>2322</v>
      </c>
      <c r="C825" t="s">
        <v>1558</v>
      </c>
      <c r="D825" t="s">
        <v>622</v>
      </c>
      <c r="E825">
        <v>1</v>
      </c>
    </row>
    <row r="826" spans="1:5" x14ac:dyDescent="0.35">
      <c r="A826" t="s">
        <v>2323</v>
      </c>
      <c r="B826" t="s">
        <v>2324</v>
      </c>
      <c r="C826" t="s">
        <v>1558</v>
      </c>
      <c r="D826" t="s">
        <v>622</v>
      </c>
      <c r="E826">
        <v>1</v>
      </c>
    </row>
    <row r="827" spans="1:5" x14ac:dyDescent="0.35">
      <c r="A827" t="s">
        <v>2325</v>
      </c>
      <c r="B827" t="s">
        <v>2326</v>
      </c>
      <c r="C827" t="s">
        <v>1738</v>
      </c>
      <c r="D827" t="s">
        <v>84</v>
      </c>
      <c r="E827">
        <v>1</v>
      </c>
    </row>
    <row r="828" spans="1:5" x14ac:dyDescent="0.35">
      <c r="A828" t="s">
        <v>2327</v>
      </c>
      <c r="B828" t="s">
        <v>2328</v>
      </c>
      <c r="C828" t="s">
        <v>2329</v>
      </c>
      <c r="D828" t="s">
        <v>52</v>
      </c>
      <c r="E828">
        <v>1</v>
      </c>
    </row>
    <row r="829" spans="1:5" x14ac:dyDescent="0.35">
      <c r="A829" t="s">
        <v>2330</v>
      </c>
      <c r="B829" t="s">
        <v>2331</v>
      </c>
      <c r="C829" t="s">
        <v>1480</v>
      </c>
      <c r="D829" t="s">
        <v>376</v>
      </c>
      <c r="E829">
        <v>1</v>
      </c>
    </row>
    <row r="830" spans="1:5" x14ac:dyDescent="0.35">
      <c r="A830" t="s">
        <v>2332</v>
      </c>
      <c r="B830" t="s">
        <v>2333</v>
      </c>
      <c r="C830" t="s">
        <v>889</v>
      </c>
      <c r="D830" t="s">
        <v>349</v>
      </c>
      <c r="E830">
        <v>1</v>
      </c>
    </row>
    <row r="831" spans="1:5" x14ac:dyDescent="0.35">
      <c r="A831" t="s">
        <v>2334</v>
      </c>
      <c r="B831" t="s">
        <v>2335</v>
      </c>
      <c r="C831" t="s">
        <v>2336</v>
      </c>
      <c r="D831" t="s">
        <v>376</v>
      </c>
      <c r="E831">
        <v>1</v>
      </c>
    </row>
    <row r="832" spans="1:5" x14ac:dyDescent="0.35">
      <c r="A832" t="s">
        <v>2337</v>
      </c>
      <c r="B832" t="s">
        <v>2338</v>
      </c>
      <c r="C832" t="s">
        <v>2286</v>
      </c>
      <c r="D832" t="s">
        <v>626</v>
      </c>
      <c r="E832">
        <v>1</v>
      </c>
    </row>
    <row r="833" spans="1:5" x14ac:dyDescent="0.35">
      <c r="A833" t="s">
        <v>2339</v>
      </c>
      <c r="B833" t="s">
        <v>2340</v>
      </c>
      <c r="C833" t="s">
        <v>2286</v>
      </c>
      <c r="D833" t="s">
        <v>626</v>
      </c>
      <c r="E833">
        <v>1</v>
      </c>
    </row>
    <row r="834" spans="1:5" x14ac:dyDescent="0.35">
      <c r="A834" t="s">
        <v>2341</v>
      </c>
      <c r="B834" t="s">
        <v>2342</v>
      </c>
      <c r="C834" t="s">
        <v>1329</v>
      </c>
      <c r="D834" t="s">
        <v>345</v>
      </c>
      <c r="E834">
        <v>1</v>
      </c>
    </row>
    <row r="835" spans="1:5" x14ac:dyDescent="0.35">
      <c r="A835" t="s">
        <v>2343</v>
      </c>
      <c r="B835" t="s">
        <v>2344</v>
      </c>
      <c r="C835" t="s">
        <v>2345</v>
      </c>
      <c r="D835" t="s">
        <v>111</v>
      </c>
      <c r="E835">
        <v>1</v>
      </c>
    </row>
    <row r="836" spans="1:5" x14ac:dyDescent="0.35">
      <c r="A836" t="s">
        <v>2346</v>
      </c>
      <c r="B836" t="s">
        <v>2347</v>
      </c>
      <c r="C836" t="s">
        <v>2286</v>
      </c>
      <c r="D836" t="s">
        <v>626</v>
      </c>
      <c r="E836">
        <v>1</v>
      </c>
    </row>
    <row r="837" spans="1:5" x14ac:dyDescent="0.35">
      <c r="A837" t="s">
        <v>2348</v>
      </c>
      <c r="B837" t="s">
        <v>2349</v>
      </c>
      <c r="C837" t="s">
        <v>1329</v>
      </c>
      <c r="D837" t="s">
        <v>345</v>
      </c>
      <c r="E837">
        <v>1</v>
      </c>
    </row>
    <row r="838" spans="1:5" x14ac:dyDescent="0.35">
      <c r="A838" t="s">
        <v>2350</v>
      </c>
      <c r="B838" t="s">
        <v>2351</v>
      </c>
      <c r="C838" t="s">
        <v>488</v>
      </c>
      <c r="D838" t="s">
        <v>626</v>
      </c>
      <c r="E838">
        <v>1</v>
      </c>
    </row>
    <row r="839" spans="1:5" x14ac:dyDescent="0.35">
      <c r="A839" t="s">
        <v>2352</v>
      </c>
      <c r="B839" t="s">
        <v>2353</v>
      </c>
      <c r="C839" t="s">
        <v>1329</v>
      </c>
      <c r="D839" t="s">
        <v>345</v>
      </c>
      <c r="E839">
        <v>1</v>
      </c>
    </row>
    <row r="840" spans="1:5" x14ac:dyDescent="0.35">
      <c r="A840" t="s">
        <v>2354</v>
      </c>
      <c r="B840" t="s">
        <v>2355</v>
      </c>
      <c r="C840" t="s">
        <v>2286</v>
      </c>
      <c r="D840" t="s">
        <v>626</v>
      </c>
      <c r="E840">
        <v>1</v>
      </c>
    </row>
    <row r="841" spans="1:5" x14ac:dyDescent="0.35">
      <c r="A841" t="s">
        <v>2356</v>
      </c>
      <c r="B841" t="s">
        <v>2357</v>
      </c>
      <c r="C841" t="s">
        <v>2241</v>
      </c>
      <c r="D841" t="s">
        <v>626</v>
      </c>
      <c r="E841">
        <v>1</v>
      </c>
    </row>
    <row r="842" spans="1:5" x14ac:dyDescent="0.35">
      <c r="A842" t="s">
        <v>2358</v>
      </c>
      <c r="B842" t="s">
        <v>2359</v>
      </c>
      <c r="C842" t="s">
        <v>2360</v>
      </c>
      <c r="D842" t="s">
        <v>52</v>
      </c>
      <c r="E842">
        <v>1</v>
      </c>
    </row>
    <row r="843" spans="1:5" x14ac:dyDescent="0.35">
      <c r="A843" t="s">
        <v>2361</v>
      </c>
      <c r="B843" t="s">
        <v>2362</v>
      </c>
      <c r="C843" t="s">
        <v>618</v>
      </c>
      <c r="D843" t="s">
        <v>429</v>
      </c>
      <c r="E843">
        <v>1</v>
      </c>
    </row>
    <row r="844" spans="1:5" x14ac:dyDescent="0.35">
      <c r="A844" t="s">
        <v>2363</v>
      </c>
      <c r="B844" t="s">
        <v>2364</v>
      </c>
      <c r="C844" t="s">
        <v>1903</v>
      </c>
      <c r="D844" t="s">
        <v>520</v>
      </c>
      <c r="E844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95027-DB39-44C9-BD47-ADBD060C6E38}">
  <dimension ref="A1:F54"/>
  <sheetViews>
    <sheetView workbookViewId="0">
      <selection activeCell="G48" sqref="G48"/>
    </sheetView>
  </sheetViews>
  <sheetFormatPr defaultRowHeight="14.5" x14ac:dyDescent="0.35"/>
  <cols>
    <col min="1" max="1" width="41.1796875" customWidth="1"/>
    <col min="2" max="2" width="25.54296875" style="35" customWidth="1"/>
    <col min="3" max="3" width="17.54296875" customWidth="1"/>
    <col min="5" max="5" width="16.54296875" customWidth="1"/>
    <col min="6" max="6" width="18" customWidth="1"/>
  </cols>
  <sheetData>
    <row r="1" spans="1:6" ht="15" thickBot="1" x14ac:dyDescent="0.4">
      <c r="A1" s="1" t="s">
        <v>2365</v>
      </c>
      <c r="B1" s="17" t="s">
        <v>2366</v>
      </c>
      <c r="C1" s="1" t="s">
        <v>2367</v>
      </c>
      <c r="E1" s="17" t="s">
        <v>2368</v>
      </c>
      <c r="F1" s="17" t="s">
        <v>2369</v>
      </c>
    </row>
    <row r="2" spans="1:6" ht="16.5" x14ac:dyDescent="0.35">
      <c r="A2" s="33" t="s">
        <v>322</v>
      </c>
      <c r="B2" s="34">
        <v>0</v>
      </c>
      <c r="C2">
        <v>1</v>
      </c>
      <c r="E2" t="s">
        <v>61</v>
      </c>
      <c r="F2" s="43">
        <v>20</v>
      </c>
    </row>
    <row r="3" spans="1:6" ht="16.5" x14ac:dyDescent="0.35">
      <c r="A3" s="33" t="s">
        <v>331</v>
      </c>
      <c r="B3" s="34">
        <v>0</v>
      </c>
      <c r="C3">
        <v>1</v>
      </c>
      <c r="E3" t="s">
        <v>107</v>
      </c>
      <c r="F3" s="43">
        <v>6</v>
      </c>
    </row>
    <row r="4" spans="1:6" ht="16.5" x14ac:dyDescent="0.35">
      <c r="A4" s="33" t="s">
        <v>220</v>
      </c>
      <c r="B4" s="34">
        <v>108.25</v>
      </c>
      <c r="C4">
        <v>1</v>
      </c>
      <c r="E4" t="s">
        <v>140</v>
      </c>
      <c r="F4" s="43">
        <v>20</v>
      </c>
    </row>
    <row r="5" spans="1:6" ht="16.5" x14ac:dyDescent="0.35">
      <c r="A5" s="33" t="s">
        <v>341</v>
      </c>
      <c r="B5" s="56">
        <v>0</v>
      </c>
      <c r="C5">
        <v>0</v>
      </c>
      <c r="E5" t="s">
        <v>46</v>
      </c>
      <c r="F5" s="43">
        <v>12</v>
      </c>
    </row>
    <row r="6" spans="1:6" ht="16.5" x14ac:dyDescent="0.35">
      <c r="A6" s="33" t="s">
        <v>345</v>
      </c>
      <c r="B6" s="56">
        <v>0</v>
      </c>
      <c r="C6">
        <v>0</v>
      </c>
      <c r="E6" t="s">
        <v>208</v>
      </c>
      <c r="F6" s="43">
        <v>6</v>
      </c>
    </row>
    <row r="7" spans="1:6" ht="16.5" x14ac:dyDescent="0.35">
      <c r="A7" s="33" t="s">
        <v>349</v>
      </c>
      <c r="B7" s="34">
        <v>83.73</v>
      </c>
      <c r="C7">
        <v>0</v>
      </c>
      <c r="E7" t="s">
        <v>2370</v>
      </c>
    </row>
    <row r="8" spans="1:6" ht="16.5" x14ac:dyDescent="0.35">
      <c r="A8" s="33" t="s">
        <v>52</v>
      </c>
      <c r="B8" s="34">
        <v>65.37</v>
      </c>
      <c r="C8">
        <v>0</v>
      </c>
    </row>
    <row r="9" spans="1:6" ht="16.5" x14ac:dyDescent="0.35">
      <c r="A9" s="33" t="s">
        <v>362</v>
      </c>
      <c r="B9" s="34">
        <v>48.47</v>
      </c>
      <c r="C9">
        <v>0</v>
      </c>
    </row>
    <row r="10" spans="1:6" ht="16.5" x14ac:dyDescent="0.35">
      <c r="A10" s="33" t="s">
        <v>366</v>
      </c>
      <c r="B10" s="56">
        <v>0</v>
      </c>
      <c r="C10">
        <v>1</v>
      </c>
    </row>
    <row r="11" spans="1:6" ht="16.5" x14ac:dyDescent="0.35">
      <c r="A11" s="33" t="s">
        <v>123</v>
      </c>
      <c r="B11" s="34">
        <v>61.77</v>
      </c>
      <c r="C11">
        <v>0</v>
      </c>
    </row>
    <row r="12" spans="1:6" ht="16.5" x14ac:dyDescent="0.35">
      <c r="A12" s="33" t="s">
        <v>376</v>
      </c>
      <c r="B12" s="34">
        <v>68.8</v>
      </c>
      <c r="C12">
        <v>1</v>
      </c>
    </row>
    <row r="13" spans="1:6" ht="16.5" x14ac:dyDescent="0.35">
      <c r="A13" s="33" t="s">
        <v>84</v>
      </c>
      <c r="B13" s="34">
        <v>100.86</v>
      </c>
      <c r="C13">
        <v>1</v>
      </c>
    </row>
    <row r="14" spans="1:6" ht="16.5" x14ac:dyDescent="0.35">
      <c r="A14" s="33" t="s">
        <v>72</v>
      </c>
      <c r="B14" s="34">
        <v>74.61</v>
      </c>
      <c r="C14">
        <v>0</v>
      </c>
    </row>
    <row r="15" spans="1:6" ht="16.5" x14ac:dyDescent="0.35">
      <c r="A15" s="33" t="s">
        <v>111</v>
      </c>
      <c r="B15" s="34">
        <v>80.58</v>
      </c>
      <c r="C15">
        <v>1</v>
      </c>
    </row>
    <row r="16" spans="1:6" ht="16.5" x14ac:dyDescent="0.35">
      <c r="A16" s="33" t="s">
        <v>395</v>
      </c>
      <c r="B16" s="34">
        <v>115.82</v>
      </c>
      <c r="C16">
        <v>0</v>
      </c>
    </row>
    <row r="17" spans="1:3" ht="16.5" x14ac:dyDescent="0.35">
      <c r="A17" s="33" t="s">
        <v>404</v>
      </c>
      <c r="B17" s="34">
        <v>170.21</v>
      </c>
      <c r="C17">
        <v>0</v>
      </c>
    </row>
    <row r="18" spans="1:3" ht="16.5" x14ac:dyDescent="0.35">
      <c r="A18" s="33" t="s">
        <v>408</v>
      </c>
      <c r="B18" s="34">
        <v>83.73</v>
      </c>
      <c r="C18">
        <v>0</v>
      </c>
    </row>
    <row r="19" spans="1:3" ht="16.5" x14ac:dyDescent="0.35">
      <c r="A19" s="33" t="s">
        <v>237</v>
      </c>
      <c r="B19" s="34">
        <v>52.28</v>
      </c>
      <c r="C19">
        <v>1</v>
      </c>
    </row>
    <row r="20" spans="1:3" ht="16.5" x14ac:dyDescent="0.35">
      <c r="A20" s="33" t="s">
        <v>429</v>
      </c>
      <c r="B20" s="34">
        <v>97.17</v>
      </c>
      <c r="C20">
        <v>0</v>
      </c>
    </row>
    <row r="21" spans="1:3" ht="16.5" x14ac:dyDescent="0.35">
      <c r="A21" s="33" t="s">
        <v>436</v>
      </c>
      <c r="B21" s="34">
        <v>65.37</v>
      </c>
      <c r="C21">
        <v>0</v>
      </c>
    </row>
    <row r="22" spans="1:3" ht="16.5" x14ac:dyDescent="0.35">
      <c r="A22" s="33" t="s">
        <v>440</v>
      </c>
      <c r="B22" s="34">
        <v>61.77</v>
      </c>
      <c r="C22">
        <v>0</v>
      </c>
    </row>
    <row r="23" spans="1:3" ht="16.5" x14ac:dyDescent="0.35">
      <c r="A23" s="33" t="s">
        <v>444</v>
      </c>
      <c r="B23" s="34">
        <v>74.61</v>
      </c>
      <c r="C23">
        <v>0</v>
      </c>
    </row>
    <row r="24" spans="1:3" ht="16.5" x14ac:dyDescent="0.35">
      <c r="A24" s="33" t="s">
        <v>447</v>
      </c>
      <c r="B24" s="34">
        <v>83.73</v>
      </c>
      <c r="C24">
        <v>0</v>
      </c>
    </row>
    <row r="25" spans="1:3" ht="16.5" x14ac:dyDescent="0.35">
      <c r="A25" s="33" t="s">
        <v>458</v>
      </c>
      <c r="B25" s="56">
        <v>0</v>
      </c>
      <c r="C25">
        <v>0</v>
      </c>
    </row>
    <row r="26" spans="1:3" ht="16.5" x14ac:dyDescent="0.35">
      <c r="A26" s="33" t="s">
        <v>462</v>
      </c>
      <c r="B26" s="34">
        <v>59.51</v>
      </c>
      <c r="C26">
        <v>0</v>
      </c>
    </row>
    <row r="27" spans="1:3" ht="16.5" x14ac:dyDescent="0.35">
      <c r="A27" s="33" t="s">
        <v>489</v>
      </c>
      <c r="B27" s="56">
        <v>0</v>
      </c>
      <c r="C27">
        <v>0</v>
      </c>
    </row>
    <row r="28" spans="1:3" ht="16.5" x14ac:dyDescent="0.35">
      <c r="A28" s="33" t="s">
        <v>520</v>
      </c>
      <c r="B28" s="34">
        <v>61.17</v>
      </c>
      <c r="C28">
        <v>0</v>
      </c>
    </row>
    <row r="29" spans="1:3" ht="16.5" x14ac:dyDescent="0.35">
      <c r="A29" s="33" t="s">
        <v>541</v>
      </c>
      <c r="B29" s="34">
        <v>60.24</v>
      </c>
      <c r="C29">
        <v>0</v>
      </c>
    </row>
    <row r="30" spans="1:3" ht="16.5" x14ac:dyDescent="0.35">
      <c r="A30" s="33" t="s">
        <v>158</v>
      </c>
      <c r="B30" s="34">
        <v>70.44</v>
      </c>
      <c r="C30">
        <v>0</v>
      </c>
    </row>
    <row r="31" spans="1:3" ht="16.5" x14ac:dyDescent="0.35">
      <c r="A31" s="33" t="s">
        <v>142</v>
      </c>
      <c r="B31" s="34">
        <v>118.93</v>
      </c>
      <c r="C31">
        <v>1</v>
      </c>
    </row>
    <row r="32" spans="1:3" ht="16.5" x14ac:dyDescent="0.35">
      <c r="A32" s="33" t="s">
        <v>556</v>
      </c>
      <c r="B32" s="34">
        <v>110.35</v>
      </c>
      <c r="C32">
        <v>0</v>
      </c>
    </row>
    <row r="33" spans="1:3" ht="16.5" x14ac:dyDescent="0.35">
      <c r="A33" s="33" t="s">
        <v>131</v>
      </c>
      <c r="B33" s="34">
        <v>170.21</v>
      </c>
      <c r="C33">
        <v>0</v>
      </c>
    </row>
    <row r="34" spans="1:3" ht="16.5" x14ac:dyDescent="0.35">
      <c r="A34" s="33" t="s">
        <v>622</v>
      </c>
      <c r="B34" s="34">
        <v>59.51</v>
      </c>
      <c r="C34">
        <v>0</v>
      </c>
    </row>
    <row r="35" spans="1:3" ht="16.5" x14ac:dyDescent="0.35">
      <c r="A35" s="33" t="s">
        <v>626</v>
      </c>
      <c r="B35" s="56">
        <v>0</v>
      </c>
      <c r="C35">
        <v>0</v>
      </c>
    </row>
    <row r="36" spans="1:3" ht="16.5" x14ac:dyDescent="0.35">
      <c r="A36" s="33" t="s">
        <v>668</v>
      </c>
      <c r="B36" s="34">
        <v>155.76</v>
      </c>
      <c r="C36">
        <v>1</v>
      </c>
    </row>
    <row r="37" spans="1:3" ht="16.5" x14ac:dyDescent="0.35">
      <c r="A37" s="33" t="s">
        <v>211</v>
      </c>
      <c r="B37" s="34">
        <v>71.09</v>
      </c>
      <c r="C37">
        <v>0</v>
      </c>
    </row>
    <row r="38" spans="1:3" ht="16.5" x14ac:dyDescent="0.35">
      <c r="A38" s="33" t="s">
        <v>724</v>
      </c>
      <c r="B38" s="34">
        <v>83.73</v>
      </c>
      <c r="C38">
        <v>0</v>
      </c>
    </row>
    <row r="39" spans="1:3" ht="16.5" x14ac:dyDescent="0.35">
      <c r="A39" s="33" t="s">
        <v>741</v>
      </c>
      <c r="B39" s="56">
        <v>0</v>
      </c>
      <c r="C39">
        <v>0</v>
      </c>
    </row>
    <row r="40" spans="1:3" ht="16.5" x14ac:dyDescent="0.35">
      <c r="A40" s="33" t="s">
        <v>103</v>
      </c>
      <c r="B40" s="34">
        <v>63.53</v>
      </c>
      <c r="C40">
        <v>1</v>
      </c>
    </row>
    <row r="41" spans="1:3" ht="16.5" x14ac:dyDescent="0.35">
      <c r="A41" s="33" t="s">
        <v>912</v>
      </c>
      <c r="B41" s="56">
        <v>0</v>
      </c>
      <c r="C41">
        <v>0</v>
      </c>
    </row>
    <row r="42" spans="1:3" ht="16.5" x14ac:dyDescent="0.35">
      <c r="A42" s="33" t="s">
        <v>96</v>
      </c>
      <c r="B42" s="34">
        <v>47.39</v>
      </c>
      <c r="C42">
        <v>0</v>
      </c>
    </row>
    <row r="43" spans="1:3" ht="16.5" x14ac:dyDescent="0.35">
      <c r="A43" s="33" t="s">
        <v>1126</v>
      </c>
      <c r="B43" s="56">
        <v>0</v>
      </c>
      <c r="C43">
        <v>0</v>
      </c>
    </row>
    <row r="44" spans="1:3" ht="16.5" x14ac:dyDescent="0.35">
      <c r="A44" s="33" t="s">
        <v>1163</v>
      </c>
      <c r="B44" s="34">
        <v>52.28</v>
      </c>
      <c r="C44">
        <v>0</v>
      </c>
    </row>
    <row r="45" spans="1:3" ht="16.5" x14ac:dyDescent="0.35">
      <c r="A45" s="33" t="s">
        <v>1167</v>
      </c>
      <c r="B45" s="34">
        <v>60.24</v>
      </c>
      <c r="C45">
        <v>0</v>
      </c>
    </row>
    <row r="46" spans="1:3" ht="16.5" x14ac:dyDescent="0.35">
      <c r="A46" s="33" t="s">
        <v>1180</v>
      </c>
      <c r="B46" s="34">
        <v>49.5</v>
      </c>
      <c r="C46">
        <v>1</v>
      </c>
    </row>
    <row r="47" spans="1:3" ht="16.5" x14ac:dyDescent="0.35">
      <c r="A47" s="33" t="s">
        <v>189</v>
      </c>
      <c r="B47" s="34">
        <v>284.38</v>
      </c>
      <c r="C47">
        <v>1</v>
      </c>
    </row>
    <row r="48" spans="1:3" ht="16.5" x14ac:dyDescent="0.35">
      <c r="A48" s="33" t="s">
        <v>1380</v>
      </c>
      <c r="B48" s="34">
        <v>88.42</v>
      </c>
      <c r="C48">
        <v>0</v>
      </c>
    </row>
    <row r="49" spans="1:3" ht="16.5" x14ac:dyDescent="0.35">
      <c r="A49" s="33" t="s">
        <v>92</v>
      </c>
      <c r="B49" s="34">
        <v>74.61</v>
      </c>
      <c r="C49">
        <v>1</v>
      </c>
    </row>
    <row r="50" spans="1:3" ht="16.5" x14ac:dyDescent="0.35">
      <c r="A50" s="33" t="s">
        <v>1494</v>
      </c>
      <c r="B50" s="56">
        <v>0</v>
      </c>
      <c r="C50">
        <v>0</v>
      </c>
    </row>
    <row r="51" spans="1:3" ht="16.5" x14ac:dyDescent="0.35">
      <c r="A51" s="33" t="s">
        <v>1522</v>
      </c>
      <c r="B51" s="34">
        <v>61.17</v>
      </c>
      <c r="C51">
        <v>0</v>
      </c>
    </row>
    <row r="52" spans="1:3" ht="16.5" x14ac:dyDescent="0.35">
      <c r="A52" s="33" t="s">
        <v>178</v>
      </c>
      <c r="B52" s="34">
        <v>125.41</v>
      </c>
      <c r="C52">
        <v>0</v>
      </c>
    </row>
    <row r="53" spans="1:3" ht="16.5" x14ac:dyDescent="0.35">
      <c r="A53" s="33" t="s">
        <v>1681</v>
      </c>
      <c r="B53" s="34">
        <v>98.85</v>
      </c>
      <c r="C53">
        <v>1</v>
      </c>
    </row>
    <row r="54" spans="1:3" ht="16.5" x14ac:dyDescent="0.35">
      <c r="A54" s="33" t="s">
        <v>1954</v>
      </c>
      <c r="B54" s="34">
        <v>21.36</v>
      </c>
      <c r="C54">
        <v>0</v>
      </c>
    </row>
  </sheetData>
  <sheetProtection algorithmName="SHA-512" hashValue="PkSWKy3KW1+ZExK9EP4VpAHzxqlYHM0HfoGA4Hy8nbcotrZuSjwG5pRrs+rlumqaKyIeOEMMQf02W+kmi6J8wA==" saltValue="5tlQuvawqIRB93BhTNGZoA==" spinCount="100000" sheet="1" formatCells="0" formatRows="0" insertRows="0" deleteRows="0" sort="0" autoFilter="0"/>
  <protectedRanges>
    <protectedRange sqref="A2:F109" name="Intervalo1"/>
  </protectedRange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C2137-6C39-4E21-AB1D-E1C9C838C689}">
  <dimension ref="A1:G500"/>
  <sheetViews>
    <sheetView workbookViewId="0">
      <selection activeCell="C8" sqref="C8"/>
    </sheetView>
  </sheetViews>
  <sheetFormatPr defaultRowHeight="14.5" x14ac:dyDescent="0.35"/>
  <cols>
    <col min="1" max="1" width="12.81640625" customWidth="1"/>
    <col min="2" max="2" width="11.1796875" customWidth="1"/>
    <col min="3" max="3" width="19.1796875" customWidth="1"/>
    <col min="4" max="4" width="24.54296875" bestFit="1" customWidth="1"/>
    <col min="5" max="5" width="12.54296875" bestFit="1" customWidth="1"/>
    <col min="6" max="6" width="34.7265625" bestFit="1" customWidth="1"/>
    <col min="7" max="7" width="20.81640625" customWidth="1"/>
  </cols>
  <sheetData>
    <row r="1" spans="1:7" ht="26" x14ac:dyDescent="0.35">
      <c r="A1" s="1" t="s">
        <v>0</v>
      </c>
      <c r="B1" s="17" t="s">
        <v>2371</v>
      </c>
      <c r="C1" s="1" t="s">
        <v>2372</v>
      </c>
      <c r="D1" s="1" t="s">
        <v>3</v>
      </c>
      <c r="E1" s="17" t="s">
        <v>4</v>
      </c>
      <c r="F1" s="17" t="s">
        <v>5</v>
      </c>
      <c r="G1" s="17" t="s">
        <v>2373</v>
      </c>
    </row>
    <row r="2" spans="1:7" x14ac:dyDescent="0.35">
      <c r="A2" s="16" t="s">
        <v>78</v>
      </c>
      <c r="B2" s="16" t="s">
        <v>244</v>
      </c>
      <c r="C2" t="s">
        <v>61</v>
      </c>
      <c r="D2" t="s">
        <v>182</v>
      </c>
      <c r="E2" s="19">
        <v>1</v>
      </c>
      <c r="F2" s="20" t="s">
        <v>2374</v>
      </c>
      <c r="G2">
        <v>2</v>
      </c>
    </row>
    <row r="3" spans="1:7" x14ac:dyDescent="0.35">
      <c r="A3" s="16" t="s">
        <v>87</v>
      </c>
      <c r="B3" s="16" t="s">
        <v>247</v>
      </c>
      <c r="C3" t="s">
        <v>107</v>
      </c>
      <c r="D3" t="s">
        <v>2375</v>
      </c>
      <c r="E3" s="19">
        <v>2</v>
      </c>
      <c r="F3" s="20" t="s">
        <v>163</v>
      </c>
      <c r="G3">
        <v>3</v>
      </c>
    </row>
    <row r="4" spans="1:7" x14ac:dyDescent="0.35">
      <c r="A4" s="16" t="s">
        <v>118</v>
      </c>
      <c r="B4" s="16" t="s">
        <v>249</v>
      </c>
      <c r="C4" t="s">
        <v>140</v>
      </c>
      <c r="D4" t="s">
        <v>155</v>
      </c>
      <c r="E4" s="19">
        <v>3</v>
      </c>
      <c r="F4" s="20" t="s">
        <v>115</v>
      </c>
      <c r="G4">
        <v>1</v>
      </c>
    </row>
    <row r="5" spans="1:7" x14ac:dyDescent="0.35">
      <c r="A5" s="16" t="s">
        <v>125</v>
      </c>
      <c r="B5" s="16" t="s">
        <v>251</v>
      </c>
      <c r="C5" t="s">
        <v>46</v>
      </c>
      <c r="D5" t="s">
        <v>150</v>
      </c>
      <c r="E5" s="19">
        <v>4</v>
      </c>
      <c r="F5" s="20" t="s">
        <v>108</v>
      </c>
      <c r="G5">
        <v>5</v>
      </c>
    </row>
    <row r="6" spans="1:7" x14ac:dyDescent="0.35">
      <c r="A6" s="16" t="s">
        <v>129</v>
      </c>
      <c r="B6" s="16" t="s">
        <v>252</v>
      </c>
      <c r="C6" t="s">
        <v>208</v>
      </c>
      <c r="D6" t="s">
        <v>120</v>
      </c>
      <c r="E6" s="19">
        <v>5</v>
      </c>
      <c r="F6" s="20" t="s">
        <v>100</v>
      </c>
      <c r="G6">
        <v>6</v>
      </c>
    </row>
    <row r="7" spans="1:7" x14ac:dyDescent="0.35">
      <c r="A7" s="16" t="s">
        <v>134</v>
      </c>
      <c r="B7" s="16" t="s">
        <v>2376</v>
      </c>
      <c r="C7" t="s">
        <v>146</v>
      </c>
      <c r="D7" t="s">
        <v>89</v>
      </c>
      <c r="E7" s="19">
        <v>6</v>
      </c>
      <c r="F7" s="20" t="s">
        <v>48</v>
      </c>
      <c r="G7">
        <v>7</v>
      </c>
    </row>
    <row r="8" spans="1:7" x14ac:dyDescent="0.35">
      <c r="A8" s="16" t="s">
        <v>161</v>
      </c>
      <c r="B8" s="16" t="s">
        <v>2377</v>
      </c>
      <c r="D8" t="s">
        <v>80</v>
      </c>
      <c r="E8" s="19">
        <v>7</v>
      </c>
      <c r="F8" s="20" t="s">
        <v>2378</v>
      </c>
      <c r="G8">
        <v>8</v>
      </c>
    </row>
    <row r="9" spans="1:7" x14ac:dyDescent="0.35">
      <c r="A9" s="16" t="s">
        <v>185</v>
      </c>
      <c r="B9" s="16" t="s">
        <v>2379</v>
      </c>
      <c r="D9" t="s">
        <v>47</v>
      </c>
      <c r="E9" s="19">
        <v>8</v>
      </c>
      <c r="F9" s="20" t="s">
        <v>2380</v>
      </c>
      <c r="G9">
        <v>4</v>
      </c>
    </row>
    <row r="10" spans="1:7" x14ac:dyDescent="0.35">
      <c r="A10" s="16" t="s">
        <v>105</v>
      </c>
      <c r="B10" s="16" t="s">
        <v>2381</v>
      </c>
      <c r="E10" s="19"/>
      <c r="F10" s="20" t="s">
        <v>2382</v>
      </c>
      <c r="G10">
        <v>9</v>
      </c>
    </row>
    <row r="11" spans="1:7" x14ac:dyDescent="0.35">
      <c r="A11" s="16" t="s">
        <v>138</v>
      </c>
      <c r="B11" s="16" t="s">
        <v>2383</v>
      </c>
      <c r="E11" s="19"/>
    </row>
    <row r="12" spans="1:7" x14ac:dyDescent="0.35">
      <c r="A12" s="16" t="s">
        <v>191</v>
      </c>
      <c r="B12" s="16" t="s">
        <v>2384</v>
      </c>
      <c r="E12" s="19"/>
    </row>
    <row r="13" spans="1:7" x14ac:dyDescent="0.35">
      <c r="A13" s="16" t="s">
        <v>59</v>
      </c>
      <c r="B13" s="16" t="s">
        <v>2385</v>
      </c>
    </row>
    <row r="14" spans="1:7" x14ac:dyDescent="0.35">
      <c r="A14" s="16" t="s">
        <v>196</v>
      </c>
      <c r="B14" s="16" t="s">
        <v>2386</v>
      </c>
    </row>
    <row r="15" spans="1:7" x14ac:dyDescent="0.35">
      <c r="A15" s="16" t="s">
        <v>166</v>
      </c>
      <c r="B15" s="16" t="s">
        <v>2387</v>
      </c>
    </row>
    <row r="16" spans="1:7" x14ac:dyDescent="0.35">
      <c r="A16" s="16" t="s">
        <v>113</v>
      </c>
      <c r="B16" s="16" t="s">
        <v>2388</v>
      </c>
    </row>
    <row r="17" spans="1:3" x14ac:dyDescent="0.35">
      <c r="A17" s="16" t="s">
        <v>199</v>
      </c>
      <c r="B17" s="16" t="s">
        <v>2389</v>
      </c>
    </row>
    <row r="18" spans="1:3" x14ac:dyDescent="0.35">
      <c r="A18" s="16" t="s">
        <v>203</v>
      </c>
      <c r="B18" s="16" t="s">
        <v>2390</v>
      </c>
    </row>
    <row r="19" spans="1:3" x14ac:dyDescent="0.35">
      <c r="A19" s="16" t="s">
        <v>206</v>
      </c>
      <c r="B19" s="16" t="s">
        <v>2391</v>
      </c>
    </row>
    <row r="20" spans="1:3" x14ac:dyDescent="0.35">
      <c r="A20" s="16" t="s">
        <v>213</v>
      </c>
      <c r="B20" s="16" t="s">
        <v>2392</v>
      </c>
    </row>
    <row r="21" spans="1:3" x14ac:dyDescent="0.35">
      <c r="A21" s="16" t="s">
        <v>216</v>
      </c>
      <c r="B21" s="16" t="s">
        <v>2393</v>
      </c>
    </row>
    <row r="22" spans="1:3" x14ac:dyDescent="0.35">
      <c r="A22" s="16" t="s">
        <v>222</v>
      </c>
      <c r="B22" s="16" t="s">
        <v>2394</v>
      </c>
    </row>
    <row r="23" spans="1:3" x14ac:dyDescent="0.35">
      <c r="A23" s="16" t="s">
        <v>225</v>
      </c>
      <c r="B23" s="16" t="s">
        <v>2395</v>
      </c>
    </row>
    <row r="24" spans="1:3" x14ac:dyDescent="0.35">
      <c r="A24" s="16" t="s">
        <v>153</v>
      </c>
      <c r="B24" s="16" t="s">
        <v>2396</v>
      </c>
    </row>
    <row r="25" spans="1:3" x14ac:dyDescent="0.35">
      <c r="A25" s="16" t="s">
        <v>64</v>
      </c>
      <c r="B25" s="16" t="s">
        <v>2397</v>
      </c>
      <c r="C25" s="18"/>
    </row>
    <row r="26" spans="1:3" x14ac:dyDescent="0.35">
      <c r="A26" s="16" t="s">
        <v>44</v>
      </c>
      <c r="B26" s="16" t="s">
        <v>2398</v>
      </c>
      <c r="C26" s="18"/>
    </row>
    <row r="27" spans="1:3" x14ac:dyDescent="0.35">
      <c r="A27" s="16" t="s">
        <v>55</v>
      </c>
      <c r="B27" s="16" t="s">
        <v>2399</v>
      </c>
      <c r="C27" s="18"/>
    </row>
    <row r="28" spans="1:3" x14ac:dyDescent="0.35">
      <c r="A28" s="16" t="s">
        <v>183</v>
      </c>
      <c r="B28" s="16" t="s">
        <v>2400</v>
      </c>
      <c r="C28" s="18"/>
    </row>
    <row r="29" spans="1:3" x14ac:dyDescent="0.35">
      <c r="A29" s="16" t="s">
        <v>180</v>
      </c>
      <c r="B29" s="16" t="s">
        <v>2401</v>
      </c>
      <c r="C29" s="18"/>
    </row>
    <row r="30" spans="1:3" x14ac:dyDescent="0.35">
      <c r="A30" s="16" t="s">
        <v>67</v>
      </c>
      <c r="B30" s="16" t="s">
        <v>2402</v>
      </c>
      <c r="C30" s="18"/>
    </row>
    <row r="31" spans="1:3" x14ac:dyDescent="0.35">
      <c r="A31" s="16" t="s">
        <v>98</v>
      </c>
      <c r="B31" s="16" t="s">
        <v>2403</v>
      </c>
      <c r="C31" s="18"/>
    </row>
    <row r="32" spans="1:3" x14ac:dyDescent="0.35">
      <c r="A32" s="16" t="s">
        <v>94</v>
      </c>
      <c r="B32" s="16" t="s">
        <v>2404</v>
      </c>
      <c r="C32" s="18"/>
    </row>
    <row r="33" spans="1:3" x14ac:dyDescent="0.35">
      <c r="A33" s="16" t="s">
        <v>144</v>
      </c>
      <c r="B33" s="16" t="s">
        <v>2405</v>
      </c>
      <c r="C33" s="18"/>
    </row>
    <row r="34" spans="1:3" x14ac:dyDescent="0.35">
      <c r="A34" s="16" t="s">
        <v>148</v>
      </c>
      <c r="B34" s="16" t="s">
        <v>2406</v>
      </c>
      <c r="C34" s="18"/>
    </row>
    <row r="35" spans="1:3" x14ac:dyDescent="0.35">
      <c r="A35" s="16" t="s">
        <v>75</v>
      </c>
      <c r="B35" s="16" t="s">
        <v>2407</v>
      </c>
      <c r="C35" s="18"/>
    </row>
    <row r="36" spans="1:3" x14ac:dyDescent="0.35">
      <c r="A36" s="16" t="s">
        <v>170</v>
      </c>
      <c r="B36" s="16" t="s">
        <v>2408</v>
      </c>
      <c r="C36" s="18"/>
    </row>
    <row r="37" spans="1:3" x14ac:dyDescent="0.35">
      <c r="A37" s="16" t="s">
        <v>2409</v>
      </c>
      <c r="B37" s="16" t="s">
        <v>2410</v>
      </c>
      <c r="C37" s="18"/>
    </row>
    <row r="38" spans="1:3" x14ac:dyDescent="0.35">
      <c r="A38" s="16" t="s">
        <v>174</v>
      </c>
      <c r="B38" s="16" t="s">
        <v>2411</v>
      </c>
      <c r="C38" s="18"/>
    </row>
    <row r="39" spans="1:3" x14ac:dyDescent="0.35">
      <c r="A39" s="16" t="s">
        <v>227</v>
      </c>
      <c r="B39" s="16" t="s">
        <v>2412</v>
      </c>
      <c r="C39" s="18"/>
    </row>
    <row r="40" spans="1:3" x14ac:dyDescent="0.35">
      <c r="A40" s="16" t="s">
        <v>231</v>
      </c>
      <c r="B40" s="16" t="s">
        <v>2413</v>
      </c>
      <c r="C40" s="18"/>
    </row>
    <row r="41" spans="1:3" x14ac:dyDescent="0.35">
      <c r="A41" s="16" t="s">
        <v>234</v>
      </c>
      <c r="B41" s="16" t="s">
        <v>2414</v>
      </c>
      <c r="C41" s="18"/>
    </row>
    <row r="42" spans="1:3" x14ac:dyDescent="0.35">
      <c r="A42" s="16" t="s">
        <v>2415</v>
      </c>
      <c r="B42" s="16" t="s">
        <v>2416</v>
      </c>
      <c r="C42" s="18"/>
    </row>
    <row r="43" spans="1:3" x14ac:dyDescent="0.35">
      <c r="A43" s="16" t="s">
        <v>2417</v>
      </c>
      <c r="B43" s="16" t="s">
        <v>2418</v>
      </c>
      <c r="C43" s="18"/>
    </row>
    <row r="44" spans="1:3" x14ac:dyDescent="0.35">
      <c r="A44" s="16" t="s">
        <v>2419</v>
      </c>
      <c r="B44" s="16" t="s">
        <v>2420</v>
      </c>
      <c r="C44" s="18"/>
    </row>
    <row r="45" spans="1:3" x14ac:dyDescent="0.35">
      <c r="A45" s="16" t="s">
        <v>2421</v>
      </c>
      <c r="B45" s="16" t="s">
        <v>2422</v>
      </c>
      <c r="C45" s="18"/>
    </row>
    <row r="46" spans="1:3" x14ac:dyDescent="0.35">
      <c r="A46" s="16" t="s">
        <v>2423</v>
      </c>
      <c r="B46" s="16" t="s">
        <v>2424</v>
      </c>
      <c r="C46" s="18"/>
    </row>
    <row r="47" spans="1:3" x14ac:dyDescent="0.35">
      <c r="A47" s="16" t="s">
        <v>2425</v>
      </c>
      <c r="B47" s="16" t="s">
        <v>2426</v>
      </c>
      <c r="C47" s="18"/>
    </row>
    <row r="48" spans="1:3" x14ac:dyDescent="0.35">
      <c r="A48" s="16" t="s">
        <v>2427</v>
      </c>
      <c r="B48" s="16" t="s">
        <v>2428</v>
      </c>
      <c r="C48" s="18"/>
    </row>
    <row r="49" spans="1:3" x14ac:dyDescent="0.35">
      <c r="A49" s="16" t="s">
        <v>2429</v>
      </c>
      <c r="B49" s="16" t="s">
        <v>2430</v>
      </c>
      <c r="C49" s="18"/>
    </row>
    <row r="50" spans="1:3" x14ac:dyDescent="0.35">
      <c r="A50" s="16" t="s">
        <v>2431</v>
      </c>
      <c r="B50" s="16" t="s">
        <v>2432</v>
      </c>
      <c r="C50" s="18"/>
    </row>
    <row r="51" spans="1:3" x14ac:dyDescent="0.35">
      <c r="A51" s="16" t="s">
        <v>2433</v>
      </c>
      <c r="B51" s="16" t="s">
        <v>2434</v>
      </c>
      <c r="C51" s="18"/>
    </row>
    <row r="52" spans="1:3" x14ac:dyDescent="0.35">
      <c r="A52" s="16" t="s">
        <v>2435</v>
      </c>
      <c r="B52" s="16" t="s">
        <v>2436</v>
      </c>
      <c r="C52" s="18"/>
    </row>
    <row r="53" spans="1:3" x14ac:dyDescent="0.35">
      <c r="A53" s="16" t="s">
        <v>2437</v>
      </c>
      <c r="B53" s="16" t="s">
        <v>2438</v>
      </c>
      <c r="C53" s="18"/>
    </row>
    <row r="54" spans="1:3" x14ac:dyDescent="0.35">
      <c r="A54" s="16" t="s">
        <v>2439</v>
      </c>
      <c r="B54" s="16" t="s">
        <v>2440</v>
      </c>
      <c r="C54" s="18"/>
    </row>
    <row r="55" spans="1:3" x14ac:dyDescent="0.35">
      <c r="A55" s="16" t="s">
        <v>2441</v>
      </c>
      <c r="B55" s="16" t="s">
        <v>2442</v>
      </c>
      <c r="C55" s="18"/>
    </row>
    <row r="56" spans="1:3" x14ac:dyDescent="0.35">
      <c r="A56" s="16" t="s">
        <v>2443</v>
      </c>
      <c r="B56" s="16" t="s">
        <v>2444</v>
      </c>
      <c r="C56" s="18"/>
    </row>
    <row r="57" spans="1:3" x14ac:dyDescent="0.35">
      <c r="A57" s="16" t="s">
        <v>2445</v>
      </c>
      <c r="B57" s="16" t="s">
        <v>2446</v>
      </c>
      <c r="C57" s="18"/>
    </row>
    <row r="58" spans="1:3" x14ac:dyDescent="0.35">
      <c r="A58" s="16" t="s">
        <v>2447</v>
      </c>
      <c r="B58" s="16" t="s">
        <v>2448</v>
      </c>
      <c r="C58" s="18"/>
    </row>
    <row r="59" spans="1:3" x14ac:dyDescent="0.35">
      <c r="A59" s="16" t="s">
        <v>2449</v>
      </c>
      <c r="B59" s="16" t="s">
        <v>2450</v>
      </c>
      <c r="C59" s="18"/>
    </row>
    <row r="60" spans="1:3" x14ac:dyDescent="0.35">
      <c r="A60" s="16" t="s">
        <v>2451</v>
      </c>
      <c r="B60" s="16" t="s">
        <v>2452</v>
      </c>
      <c r="C60" s="18"/>
    </row>
    <row r="61" spans="1:3" x14ac:dyDescent="0.35">
      <c r="A61" s="16" t="s">
        <v>2453</v>
      </c>
      <c r="B61" s="16" t="s">
        <v>2454</v>
      </c>
      <c r="C61" s="18"/>
    </row>
    <row r="62" spans="1:3" x14ac:dyDescent="0.35">
      <c r="A62" s="16" t="s">
        <v>2455</v>
      </c>
      <c r="B62" s="16" t="s">
        <v>2456</v>
      </c>
      <c r="C62" s="18"/>
    </row>
    <row r="63" spans="1:3" x14ac:dyDescent="0.35">
      <c r="A63" s="16" t="s">
        <v>2457</v>
      </c>
      <c r="B63" s="16" t="s">
        <v>2458</v>
      </c>
      <c r="C63" s="18"/>
    </row>
    <row r="64" spans="1:3" x14ac:dyDescent="0.35">
      <c r="A64" s="16" t="s">
        <v>2459</v>
      </c>
      <c r="B64" s="16" t="s">
        <v>2460</v>
      </c>
      <c r="C64" s="18"/>
    </row>
    <row r="65" spans="1:3" x14ac:dyDescent="0.35">
      <c r="A65" s="16" t="s">
        <v>2461</v>
      </c>
      <c r="B65" s="16" t="s">
        <v>2462</v>
      </c>
      <c r="C65" s="18"/>
    </row>
    <row r="66" spans="1:3" x14ac:dyDescent="0.35">
      <c r="A66" s="16" t="s">
        <v>2463</v>
      </c>
      <c r="B66" s="16" t="s">
        <v>2464</v>
      </c>
      <c r="C66" s="18"/>
    </row>
    <row r="67" spans="1:3" x14ac:dyDescent="0.35">
      <c r="A67" s="16" t="s">
        <v>2465</v>
      </c>
      <c r="B67" s="16" t="s">
        <v>2466</v>
      </c>
      <c r="C67" s="18"/>
    </row>
    <row r="68" spans="1:3" x14ac:dyDescent="0.35">
      <c r="A68" s="16" t="s">
        <v>2467</v>
      </c>
      <c r="B68" s="16" t="s">
        <v>2468</v>
      </c>
      <c r="C68" s="18"/>
    </row>
    <row r="69" spans="1:3" x14ac:dyDescent="0.35">
      <c r="A69" s="16" t="s">
        <v>2469</v>
      </c>
      <c r="B69" s="16" t="s">
        <v>2470</v>
      </c>
      <c r="C69" s="18"/>
    </row>
    <row r="70" spans="1:3" x14ac:dyDescent="0.35">
      <c r="A70" s="16" t="s">
        <v>2471</v>
      </c>
      <c r="B70" s="16" t="s">
        <v>2472</v>
      </c>
      <c r="C70" s="18"/>
    </row>
    <row r="71" spans="1:3" x14ac:dyDescent="0.35">
      <c r="A71" s="16" t="s">
        <v>2473</v>
      </c>
      <c r="B71" s="16" t="s">
        <v>2474</v>
      </c>
      <c r="C71" s="18"/>
    </row>
    <row r="72" spans="1:3" x14ac:dyDescent="0.35">
      <c r="A72" s="16" t="s">
        <v>2475</v>
      </c>
      <c r="B72" s="16" t="s">
        <v>2476</v>
      </c>
      <c r="C72" s="18"/>
    </row>
    <row r="73" spans="1:3" x14ac:dyDescent="0.35">
      <c r="A73" s="16" t="s">
        <v>2477</v>
      </c>
      <c r="B73" s="16" t="s">
        <v>2478</v>
      </c>
      <c r="C73" s="18"/>
    </row>
    <row r="74" spans="1:3" x14ac:dyDescent="0.35">
      <c r="A74" s="16" t="s">
        <v>2479</v>
      </c>
      <c r="B74" s="16" t="s">
        <v>2480</v>
      </c>
      <c r="C74" s="18"/>
    </row>
    <row r="75" spans="1:3" x14ac:dyDescent="0.35">
      <c r="A75" s="16" t="s">
        <v>2481</v>
      </c>
      <c r="B75" s="16" t="s">
        <v>2482</v>
      </c>
      <c r="C75" s="18"/>
    </row>
    <row r="76" spans="1:3" x14ac:dyDescent="0.35">
      <c r="A76" s="16" t="s">
        <v>2483</v>
      </c>
      <c r="B76" s="16" t="s">
        <v>2484</v>
      </c>
      <c r="C76" s="18"/>
    </row>
    <row r="77" spans="1:3" x14ac:dyDescent="0.35">
      <c r="A77" s="16" t="s">
        <v>2485</v>
      </c>
      <c r="B77" s="16" t="s">
        <v>2486</v>
      </c>
      <c r="C77" s="18"/>
    </row>
    <row r="78" spans="1:3" x14ac:dyDescent="0.35">
      <c r="A78" s="16" t="s">
        <v>2487</v>
      </c>
      <c r="B78" s="16" t="s">
        <v>2488</v>
      </c>
      <c r="C78" s="18"/>
    </row>
    <row r="79" spans="1:3" x14ac:dyDescent="0.35">
      <c r="A79" s="16" t="s">
        <v>2489</v>
      </c>
      <c r="B79" s="16" t="s">
        <v>2490</v>
      </c>
      <c r="C79" s="18"/>
    </row>
    <row r="80" spans="1:3" x14ac:dyDescent="0.35">
      <c r="A80" s="16" t="s">
        <v>2491</v>
      </c>
      <c r="B80" s="16" t="s">
        <v>2492</v>
      </c>
      <c r="C80" s="18"/>
    </row>
    <row r="81" spans="1:3" x14ac:dyDescent="0.35">
      <c r="A81" s="16" t="s">
        <v>2493</v>
      </c>
      <c r="B81" s="16" t="s">
        <v>2494</v>
      </c>
      <c r="C81" s="18"/>
    </row>
    <row r="82" spans="1:3" x14ac:dyDescent="0.35">
      <c r="A82" s="16" t="s">
        <v>2495</v>
      </c>
      <c r="B82" s="16" t="s">
        <v>2496</v>
      </c>
      <c r="C82" s="18"/>
    </row>
    <row r="83" spans="1:3" x14ac:dyDescent="0.35">
      <c r="A83" s="16" t="s">
        <v>2497</v>
      </c>
      <c r="B83" s="16" t="s">
        <v>2498</v>
      </c>
      <c r="C83" s="18"/>
    </row>
    <row r="84" spans="1:3" x14ac:dyDescent="0.35">
      <c r="A84" s="16" t="s">
        <v>2499</v>
      </c>
      <c r="B84" s="16" t="s">
        <v>2500</v>
      </c>
      <c r="C84" s="18"/>
    </row>
    <row r="85" spans="1:3" x14ac:dyDescent="0.35">
      <c r="A85" s="16" t="s">
        <v>2501</v>
      </c>
      <c r="B85" s="16" t="s">
        <v>2502</v>
      </c>
      <c r="C85" s="18"/>
    </row>
    <row r="86" spans="1:3" x14ac:dyDescent="0.35">
      <c r="A86" s="16" t="s">
        <v>2503</v>
      </c>
      <c r="B86" s="16" t="s">
        <v>2504</v>
      </c>
      <c r="C86" s="18"/>
    </row>
    <row r="87" spans="1:3" x14ac:dyDescent="0.35">
      <c r="A87" s="16" t="s">
        <v>2505</v>
      </c>
      <c r="B87" s="16" t="s">
        <v>2506</v>
      </c>
      <c r="C87" s="18"/>
    </row>
    <row r="88" spans="1:3" x14ac:dyDescent="0.35">
      <c r="A88" s="16" t="s">
        <v>2507</v>
      </c>
      <c r="B88" s="16" t="s">
        <v>2508</v>
      </c>
      <c r="C88" s="18"/>
    </row>
    <row r="89" spans="1:3" x14ac:dyDescent="0.35">
      <c r="A89" s="16" t="s">
        <v>2509</v>
      </c>
      <c r="B89" s="16" t="s">
        <v>2510</v>
      </c>
      <c r="C89" s="18"/>
    </row>
    <row r="90" spans="1:3" x14ac:dyDescent="0.35">
      <c r="A90" s="16" t="s">
        <v>2511</v>
      </c>
      <c r="B90" s="16" t="s">
        <v>2512</v>
      </c>
      <c r="C90" s="18"/>
    </row>
    <row r="91" spans="1:3" x14ac:dyDescent="0.35">
      <c r="A91" s="16" t="s">
        <v>2513</v>
      </c>
      <c r="B91" s="16" t="s">
        <v>2514</v>
      </c>
      <c r="C91" s="18"/>
    </row>
    <row r="92" spans="1:3" x14ac:dyDescent="0.35">
      <c r="A92" s="16" t="s">
        <v>2515</v>
      </c>
      <c r="B92" s="16" t="s">
        <v>2516</v>
      </c>
      <c r="C92" s="18"/>
    </row>
    <row r="93" spans="1:3" x14ac:dyDescent="0.35">
      <c r="A93" s="16" t="s">
        <v>2517</v>
      </c>
      <c r="B93" s="16" t="s">
        <v>2518</v>
      </c>
      <c r="C93" s="18"/>
    </row>
    <row r="94" spans="1:3" x14ac:dyDescent="0.35">
      <c r="A94" s="16" t="s">
        <v>2519</v>
      </c>
      <c r="B94" s="16" t="s">
        <v>2520</v>
      </c>
      <c r="C94" s="18"/>
    </row>
    <row r="95" spans="1:3" x14ac:dyDescent="0.35">
      <c r="A95" s="16" t="s">
        <v>2521</v>
      </c>
      <c r="B95" s="16" t="s">
        <v>2522</v>
      </c>
      <c r="C95" s="18"/>
    </row>
    <row r="96" spans="1:3" x14ac:dyDescent="0.35">
      <c r="A96" s="16" t="s">
        <v>2523</v>
      </c>
      <c r="B96" s="16" t="s">
        <v>2524</v>
      </c>
      <c r="C96" s="18"/>
    </row>
    <row r="97" spans="1:3" x14ac:dyDescent="0.35">
      <c r="A97" s="16" t="s">
        <v>2525</v>
      </c>
      <c r="B97" s="16" t="s">
        <v>2526</v>
      </c>
      <c r="C97" s="18"/>
    </row>
    <row r="98" spans="1:3" x14ac:dyDescent="0.35">
      <c r="A98" s="16" t="s">
        <v>2527</v>
      </c>
      <c r="B98" s="16" t="s">
        <v>2528</v>
      </c>
      <c r="C98" s="18"/>
    </row>
    <row r="99" spans="1:3" x14ac:dyDescent="0.35">
      <c r="A99" s="16" t="s">
        <v>2529</v>
      </c>
      <c r="B99" s="16" t="s">
        <v>2530</v>
      </c>
      <c r="C99" s="18"/>
    </row>
    <row r="100" spans="1:3" x14ac:dyDescent="0.35">
      <c r="A100" s="16" t="s">
        <v>2531</v>
      </c>
      <c r="B100" s="16" t="s">
        <v>2532</v>
      </c>
      <c r="C100" s="18"/>
    </row>
    <row r="101" spans="1:3" x14ac:dyDescent="0.35">
      <c r="A101" s="16" t="s">
        <v>2533</v>
      </c>
      <c r="B101" s="16"/>
      <c r="C101" s="18"/>
    </row>
    <row r="102" spans="1:3" x14ac:dyDescent="0.35">
      <c r="A102" s="16" t="s">
        <v>2534</v>
      </c>
      <c r="B102" s="16"/>
      <c r="C102" s="18"/>
    </row>
    <row r="103" spans="1:3" x14ac:dyDescent="0.35">
      <c r="A103" s="16" t="s">
        <v>2535</v>
      </c>
      <c r="B103" s="16"/>
      <c r="C103" s="18"/>
    </row>
    <row r="104" spans="1:3" x14ac:dyDescent="0.35">
      <c r="A104" s="16" t="s">
        <v>2536</v>
      </c>
      <c r="B104" s="16"/>
      <c r="C104" s="18"/>
    </row>
    <row r="105" spans="1:3" x14ac:dyDescent="0.35">
      <c r="A105" s="16" t="s">
        <v>2537</v>
      </c>
      <c r="B105" s="16"/>
      <c r="C105" s="18"/>
    </row>
    <row r="106" spans="1:3" x14ac:dyDescent="0.35">
      <c r="A106" s="16" t="s">
        <v>2538</v>
      </c>
      <c r="B106" s="16"/>
      <c r="C106" s="18"/>
    </row>
    <row r="107" spans="1:3" x14ac:dyDescent="0.35">
      <c r="A107" s="16" t="s">
        <v>2539</v>
      </c>
      <c r="B107" s="16"/>
      <c r="C107" s="18"/>
    </row>
    <row r="108" spans="1:3" x14ac:dyDescent="0.35">
      <c r="A108" s="16" t="s">
        <v>2540</v>
      </c>
      <c r="B108" s="16"/>
      <c r="C108" s="18"/>
    </row>
    <row r="109" spans="1:3" x14ac:dyDescent="0.35">
      <c r="A109" s="16" t="s">
        <v>2541</v>
      </c>
      <c r="B109" s="16"/>
      <c r="C109" s="18"/>
    </row>
    <row r="110" spans="1:3" x14ac:dyDescent="0.35">
      <c r="A110" s="16" t="s">
        <v>2542</v>
      </c>
      <c r="B110" s="16"/>
      <c r="C110" s="18"/>
    </row>
    <row r="111" spans="1:3" x14ac:dyDescent="0.35">
      <c r="A111" s="16" t="s">
        <v>2543</v>
      </c>
      <c r="B111" s="16"/>
      <c r="C111" s="18"/>
    </row>
    <row r="112" spans="1:3" x14ac:dyDescent="0.35">
      <c r="A112" s="16" t="s">
        <v>2544</v>
      </c>
      <c r="B112" s="16"/>
      <c r="C112" s="18"/>
    </row>
    <row r="113" spans="1:3" x14ac:dyDescent="0.35">
      <c r="A113" s="16" t="s">
        <v>2545</v>
      </c>
      <c r="B113" s="16"/>
      <c r="C113" s="18"/>
    </row>
    <row r="114" spans="1:3" x14ac:dyDescent="0.35">
      <c r="A114" s="16" t="s">
        <v>2546</v>
      </c>
      <c r="B114" s="16"/>
      <c r="C114" s="18"/>
    </row>
    <row r="115" spans="1:3" x14ac:dyDescent="0.35">
      <c r="A115" s="16" t="s">
        <v>2547</v>
      </c>
      <c r="B115" s="16"/>
      <c r="C115" s="18"/>
    </row>
    <row r="116" spans="1:3" x14ac:dyDescent="0.35">
      <c r="A116" s="16" t="s">
        <v>2548</v>
      </c>
      <c r="B116" s="16"/>
      <c r="C116" s="18"/>
    </row>
    <row r="117" spans="1:3" x14ac:dyDescent="0.35">
      <c r="A117" s="16" t="s">
        <v>2549</v>
      </c>
      <c r="B117" s="16"/>
      <c r="C117" s="18"/>
    </row>
    <row r="118" spans="1:3" x14ac:dyDescent="0.35">
      <c r="A118" s="16" t="s">
        <v>2550</v>
      </c>
      <c r="B118" s="16"/>
      <c r="C118" s="18"/>
    </row>
    <row r="119" spans="1:3" x14ac:dyDescent="0.35">
      <c r="A119" s="16" t="s">
        <v>2551</v>
      </c>
      <c r="B119" s="16"/>
      <c r="C119" s="18"/>
    </row>
    <row r="120" spans="1:3" x14ac:dyDescent="0.35">
      <c r="A120" s="16" t="s">
        <v>2552</v>
      </c>
      <c r="B120" s="16"/>
      <c r="C120" s="18"/>
    </row>
    <row r="121" spans="1:3" x14ac:dyDescent="0.35">
      <c r="A121" s="16" t="s">
        <v>2553</v>
      </c>
      <c r="B121" s="16"/>
      <c r="C121" s="18"/>
    </row>
    <row r="122" spans="1:3" x14ac:dyDescent="0.35">
      <c r="A122" s="16" t="s">
        <v>2554</v>
      </c>
      <c r="B122" s="16"/>
      <c r="C122" s="18"/>
    </row>
    <row r="123" spans="1:3" x14ac:dyDescent="0.35">
      <c r="A123" s="16" t="s">
        <v>2555</v>
      </c>
      <c r="B123" s="16"/>
      <c r="C123" s="18"/>
    </row>
    <row r="124" spans="1:3" x14ac:dyDescent="0.35">
      <c r="A124" s="16" t="s">
        <v>2556</v>
      </c>
      <c r="B124" s="16"/>
      <c r="C124" s="18"/>
    </row>
    <row r="125" spans="1:3" x14ac:dyDescent="0.35">
      <c r="A125" s="16" t="s">
        <v>2557</v>
      </c>
      <c r="B125" s="16"/>
      <c r="C125" s="18"/>
    </row>
    <row r="126" spans="1:3" x14ac:dyDescent="0.35">
      <c r="A126" s="16" t="s">
        <v>2558</v>
      </c>
      <c r="B126" s="16"/>
      <c r="C126" s="18"/>
    </row>
    <row r="127" spans="1:3" x14ac:dyDescent="0.35">
      <c r="A127" s="16" t="s">
        <v>2559</v>
      </c>
      <c r="B127" s="16"/>
      <c r="C127" s="18"/>
    </row>
    <row r="128" spans="1:3" x14ac:dyDescent="0.35">
      <c r="A128" s="16" t="s">
        <v>2560</v>
      </c>
      <c r="B128" s="16"/>
      <c r="C128" s="18"/>
    </row>
    <row r="129" spans="1:3" x14ac:dyDescent="0.35">
      <c r="A129" s="16" t="s">
        <v>2561</v>
      </c>
      <c r="B129" s="16"/>
      <c r="C129" s="18"/>
    </row>
    <row r="130" spans="1:3" x14ac:dyDescent="0.35">
      <c r="A130" s="16" t="s">
        <v>2562</v>
      </c>
      <c r="B130" s="16"/>
      <c r="C130" s="18"/>
    </row>
    <row r="131" spans="1:3" x14ac:dyDescent="0.35">
      <c r="A131" s="16" t="s">
        <v>2563</v>
      </c>
      <c r="B131" s="16"/>
      <c r="C131" s="18"/>
    </row>
    <row r="132" spans="1:3" x14ac:dyDescent="0.35">
      <c r="A132" s="16" t="s">
        <v>2564</v>
      </c>
      <c r="B132" s="16"/>
      <c r="C132" s="18"/>
    </row>
    <row r="133" spans="1:3" x14ac:dyDescent="0.35">
      <c r="A133" s="16" t="s">
        <v>2565</v>
      </c>
      <c r="B133" s="16"/>
      <c r="C133" s="18"/>
    </row>
    <row r="134" spans="1:3" x14ac:dyDescent="0.35">
      <c r="A134" s="16" t="s">
        <v>2566</v>
      </c>
      <c r="B134" s="16"/>
      <c r="C134" s="18"/>
    </row>
    <row r="135" spans="1:3" x14ac:dyDescent="0.35">
      <c r="A135" s="16" t="s">
        <v>2567</v>
      </c>
      <c r="B135" s="16"/>
      <c r="C135" s="18"/>
    </row>
    <row r="136" spans="1:3" x14ac:dyDescent="0.35">
      <c r="A136" s="16" t="s">
        <v>2568</v>
      </c>
      <c r="B136" s="16"/>
      <c r="C136" s="18"/>
    </row>
    <row r="137" spans="1:3" x14ac:dyDescent="0.35">
      <c r="A137" s="16" t="s">
        <v>2569</v>
      </c>
      <c r="B137" s="16"/>
      <c r="C137" s="18"/>
    </row>
    <row r="138" spans="1:3" x14ac:dyDescent="0.35">
      <c r="A138" s="16" t="s">
        <v>2570</v>
      </c>
      <c r="B138" s="16"/>
      <c r="C138" s="18"/>
    </row>
    <row r="139" spans="1:3" x14ac:dyDescent="0.35">
      <c r="A139" s="16" t="s">
        <v>2571</v>
      </c>
      <c r="B139" s="16"/>
      <c r="C139" s="18"/>
    </row>
    <row r="140" spans="1:3" x14ac:dyDescent="0.35">
      <c r="A140" s="16" t="s">
        <v>2572</v>
      </c>
      <c r="B140" s="16"/>
      <c r="C140" s="18"/>
    </row>
    <row r="141" spans="1:3" x14ac:dyDescent="0.35">
      <c r="A141" s="16" t="s">
        <v>2573</v>
      </c>
      <c r="B141" s="16"/>
      <c r="C141" s="18"/>
    </row>
    <row r="142" spans="1:3" x14ac:dyDescent="0.35">
      <c r="A142" s="16" t="s">
        <v>2574</v>
      </c>
      <c r="B142" s="16"/>
      <c r="C142" s="18"/>
    </row>
    <row r="143" spans="1:3" x14ac:dyDescent="0.35">
      <c r="A143" s="16" t="s">
        <v>2575</v>
      </c>
      <c r="B143" s="16"/>
      <c r="C143" s="18"/>
    </row>
    <row r="144" spans="1:3" x14ac:dyDescent="0.35">
      <c r="A144" s="16" t="s">
        <v>2576</v>
      </c>
      <c r="B144" s="16"/>
      <c r="C144" s="18"/>
    </row>
    <row r="145" spans="1:3" x14ac:dyDescent="0.35">
      <c r="A145" s="16" t="s">
        <v>2577</v>
      </c>
      <c r="B145" s="16"/>
      <c r="C145" s="18"/>
    </row>
    <row r="146" spans="1:3" x14ac:dyDescent="0.35">
      <c r="A146" s="16" t="s">
        <v>2578</v>
      </c>
      <c r="B146" s="16"/>
      <c r="C146" s="18"/>
    </row>
    <row r="147" spans="1:3" x14ac:dyDescent="0.35">
      <c r="A147" s="16" t="s">
        <v>2579</v>
      </c>
      <c r="B147" s="16"/>
      <c r="C147" s="18"/>
    </row>
    <row r="148" spans="1:3" x14ac:dyDescent="0.35">
      <c r="A148" s="16" t="s">
        <v>2580</v>
      </c>
      <c r="B148" s="16"/>
      <c r="C148" s="18"/>
    </row>
    <row r="149" spans="1:3" x14ac:dyDescent="0.35">
      <c r="A149" s="16" t="s">
        <v>2581</v>
      </c>
      <c r="B149" s="16"/>
      <c r="C149" s="18"/>
    </row>
    <row r="150" spans="1:3" x14ac:dyDescent="0.35">
      <c r="A150" s="16" t="s">
        <v>2582</v>
      </c>
      <c r="B150" s="16"/>
      <c r="C150" s="18"/>
    </row>
    <row r="151" spans="1:3" x14ac:dyDescent="0.35">
      <c r="A151" s="16" t="s">
        <v>2583</v>
      </c>
      <c r="B151" s="16"/>
      <c r="C151" s="18"/>
    </row>
    <row r="152" spans="1:3" x14ac:dyDescent="0.35">
      <c r="A152" s="16" t="s">
        <v>2584</v>
      </c>
      <c r="B152" s="16"/>
      <c r="C152" s="18"/>
    </row>
    <row r="153" spans="1:3" x14ac:dyDescent="0.35">
      <c r="A153" s="16" t="s">
        <v>2585</v>
      </c>
      <c r="B153" s="16"/>
      <c r="C153" s="18"/>
    </row>
    <row r="154" spans="1:3" x14ac:dyDescent="0.35">
      <c r="A154" s="16" t="s">
        <v>2586</v>
      </c>
      <c r="B154" s="16"/>
      <c r="C154" s="18"/>
    </row>
    <row r="155" spans="1:3" x14ac:dyDescent="0.35">
      <c r="A155" s="16" t="s">
        <v>2587</v>
      </c>
      <c r="B155" s="16"/>
      <c r="C155" s="18"/>
    </row>
    <row r="156" spans="1:3" x14ac:dyDescent="0.35">
      <c r="A156" s="16" t="s">
        <v>2588</v>
      </c>
      <c r="B156" s="16"/>
      <c r="C156" s="18"/>
    </row>
    <row r="157" spans="1:3" x14ac:dyDescent="0.35">
      <c r="A157" s="16" t="s">
        <v>2589</v>
      </c>
      <c r="B157" s="16"/>
      <c r="C157" s="18"/>
    </row>
    <row r="158" spans="1:3" x14ac:dyDescent="0.35">
      <c r="A158" s="16" t="s">
        <v>2590</v>
      </c>
      <c r="B158" s="16"/>
      <c r="C158" s="18"/>
    </row>
    <row r="159" spans="1:3" x14ac:dyDescent="0.35">
      <c r="A159" s="16" t="s">
        <v>2591</v>
      </c>
      <c r="B159" s="16"/>
      <c r="C159" s="18"/>
    </row>
    <row r="160" spans="1:3" x14ac:dyDescent="0.35">
      <c r="A160" s="16" t="s">
        <v>2592</v>
      </c>
      <c r="B160" s="16"/>
      <c r="C160" s="18"/>
    </row>
    <row r="161" spans="1:3" x14ac:dyDescent="0.35">
      <c r="A161" s="16" t="s">
        <v>2593</v>
      </c>
      <c r="B161" s="16"/>
      <c r="C161" s="18"/>
    </row>
    <row r="162" spans="1:3" x14ac:dyDescent="0.35">
      <c r="A162" s="16" t="s">
        <v>2594</v>
      </c>
      <c r="B162" s="16"/>
      <c r="C162" s="18"/>
    </row>
    <row r="163" spans="1:3" x14ac:dyDescent="0.35">
      <c r="A163" s="16" t="s">
        <v>2595</v>
      </c>
      <c r="B163" s="16"/>
      <c r="C163" s="18"/>
    </row>
    <row r="164" spans="1:3" x14ac:dyDescent="0.35">
      <c r="A164" s="16" t="s">
        <v>2596</v>
      </c>
      <c r="B164" s="16"/>
      <c r="C164" s="18"/>
    </row>
    <row r="165" spans="1:3" x14ac:dyDescent="0.35">
      <c r="A165" s="16" t="s">
        <v>2597</v>
      </c>
      <c r="B165" s="16"/>
      <c r="C165" s="18"/>
    </row>
    <row r="166" spans="1:3" x14ac:dyDescent="0.35">
      <c r="A166" s="16" t="s">
        <v>2598</v>
      </c>
      <c r="B166" s="16"/>
      <c r="C166" s="18"/>
    </row>
    <row r="167" spans="1:3" x14ac:dyDescent="0.35">
      <c r="A167" s="16" t="s">
        <v>2599</v>
      </c>
      <c r="B167" s="16"/>
      <c r="C167" s="18"/>
    </row>
    <row r="168" spans="1:3" x14ac:dyDescent="0.35">
      <c r="A168" s="16" t="s">
        <v>2600</v>
      </c>
      <c r="B168" s="16"/>
      <c r="C168" s="18"/>
    </row>
    <row r="169" spans="1:3" x14ac:dyDescent="0.35">
      <c r="A169" s="16" t="s">
        <v>2601</v>
      </c>
      <c r="B169" s="16"/>
      <c r="C169" s="18"/>
    </row>
    <row r="170" spans="1:3" x14ac:dyDescent="0.35">
      <c r="A170" s="16" t="s">
        <v>2602</v>
      </c>
      <c r="B170" s="16"/>
      <c r="C170" s="18"/>
    </row>
    <row r="171" spans="1:3" x14ac:dyDescent="0.35">
      <c r="A171" s="16" t="s">
        <v>2603</v>
      </c>
      <c r="B171" s="16"/>
      <c r="C171" s="18"/>
    </row>
    <row r="172" spans="1:3" x14ac:dyDescent="0.35">
      <c r="A172" s="16" t="s">
        <v>2604</v>
      </c>
      <c r="B172" s="16"/>
      <c r="C172" s="18"/>
    </row>
    <row r="173" spans="1:3" x14ac:dyDescent="0.35">
      <c r="A173" s="16" t="s">
        <v>2605</v>
      </c>
      <c r="B173" s="16"/>
      <c r="C173" s="18"/>
    </row>
    <row r="174" spans="1:3" x14ac:dyDescent="0.35">
      <c r="A174" s="16" t="s">
        <v>2606</v>
      </c>
      <c r="B174" s="16"/>
      <c r="C174" s="18"/>
    </row>
    <row r="175" spans="1:3" x14ac:dyDescent="0.35">
      <c r="A175" s="16" t="s">
        <v>2607</v>
      </c>
      <c r="B175" s="16"/>
      <c r="C175" s="18"/>
    </row>
    <row r="176" spans="1:3" x14ac:dyDescent="0.35">
      <c r="A176" s="16" t="s">
        <v>2608</v>
      </c>
      <c r="B176" s="16"/>
      <c r="C176" s="18"/>
    </row>
    <row r="177" spans="1:3" x14ac:dyDescent="0.35">
      <c r="A177" s="16" t="s">
        <v>2609</v>
      </c>
      <c r="B177" s="16"/>
      <c r="C177" s="18"/>
    </row>
    <row r="178" spans="1:3" x14ac:dyDescent="0.35">
      <c r="A178" s="16" t="s">
        <v>2610</v>
      </c>
      <c r="B178" s="16"/>
      <c r="C178" s="18"/>
    </row>
    <row r="179" spans="1:3" x14ac:dyDescent="0.35">
      <c r="A179" s="16" t="s">
        <v>2611</v>
      </c>
      <c r="B179" s="16"/>
      <c r="C179" s="18"/>
    </row>
    <row r="180" spans="1:3" x14ac:dyDescent="0.35">
      <c r="A180" s="16" t="s">
        <v>2612</v>
      </c>
      <c r="B180" s="16"/>
      <c r="C180" s="18"/>
    </row>
    <row r="181" spans="1:3" x14ac:dyDescent="0.35">
      <c r="A181" s="16" t="s">
        <v>2613</v>
      </c>
      <c r="B181" s="16"/>
      <c r="C181" s="18"/>
    </row>
    <row r="182" spans="1:3" x14ac:dyDescent="0.35">
      <c r="A182" s="16" t="s">
        <v>2614</v>
      </c>
      <c r="B182" s="16"/>
      <c r="C182" s="18"/>
    </row>
    <row r="183" spans="1:3" x14ac:dyDescent="0.35">
      <c r="A183" s="16" t="s">
        <v>2615</v>
      </c>
      <c r="B183" s="16"/>
      <c r="C183" s="18"/>
    </row>
    <row r="184" spans="1:3" x14ac:dyDescent="0.35">
      <c r="A184" s="16" t="s">
        <v>2616</v>
      </c>
      <c r="B184" s="16"/>
      <c r="C184" s="18"/>
    </row>
    <row r="185" spans="1:3" x14ac:dyDescent="0.35">
      <c r="A185" s="16" t="s">
        <v>2617</v>
      </c>
      <c r="B185" s="16"/>
      <c r="C185" s="18"/>
    </row>
    <row r="186" spans="1:3" x14ac:dyDescent="0.35">
      <c r="A186" s="16" t="s">
        <v>2618</v>
      </c>
      <c r="B186" s="16"/>
      <c r="C186" s="18"/>
    </row>
    <row r="187" spans="1:3" x14ac:dyDescent="0.35">
      <c r="A187" s="16" t="s">
        <v>2619</v>
      </c>
      <c r="B187" s="16"/>
      <c r="C187" s="18"/>
    </row>
    <row r="188" spans="1:3" x14ac:dyDescent="0.35">
      <c r="A188" s="16" t="s">
        <v>2620</v>
      </c>
      <c r="B188" s="16"/>
      <c r="C188" s="18"/>
    </row>
    <row r="189" spans="1:3" x14ac:dyDescent="0.35">
      <c r="A189" s="16" t="s">
        <v>2621</v>
      </c>
      <c r="B189" s="16"/>
      <c r="C189" s="18"/>
    </row>
    <row r="190" spans="1:3" x14ac:dyDescent="0.35">
      <c r="A190" s="16" t="s">
        <v>2622</v>
      </c>
      <c r="B190" s="16"/>
      <c r="C190" s="18"/>
    </row>
    <row r="191" spans="1:3" x14ac:dyDescent="0.35">
      <c r="A191" s="16" t="s">
        <v>2623</v>
      </c>
      <c r="B191" s="16"/>
      <c r="C191" s="18"/>
    </row>
    <row r="192" spans="1:3" x14ac:dyDescent="0.35">
      <c r="A192" s="16" t="s">
        <v>2624</v>
      </c>
      <c r="B192" s="16"/>
      <c r="C192" s="18"/>
    </row>
    <row r="193" spans="1:3" x14ac:dyDescent="0.35">
      <c r="A193" s="16" t="s">
        <v>2625</v>
      </c>
      <c r="B193" s="16"/>
      <c r="C193" s="18"/>
    </row>
    <row r="194" spans="1:3" x14ac:dyDescent="0.35">
      <c r="A194" s="16" t="s">
        <v>2626</v>
      </c>
      <c r="B194" s="16"/>
      <c r="C194" s="18"/>
    </row>
    <row r="195" spans="1:3" x14ac:dyDescent="0.35">
      <c r="A195" s="16" t="s">
        <v>2627</v>
      </c>
      <c r="B195" s="16"/>
      <c r="C195" s="18"/>
    </row>
    <row r="196" spans="1:3" x14ac:dyDescent="0.35">
      <c r="A196" s="16" t="s">
        <v>2628</v>
      </c>
      <c r="B196" s="16"/>
      <c r="C196" s="18"/>
    </row>
    <row r="197" spans="1:3" x14ac:dyDescent="0.35">
      <c r="A197" s="16" t="s">
        <v>2629</v>
      </c>
      <c r="B197" s="16"/>
      <c r="C197" s="18"/>
    </row>
    <row r="198" spans="1:3" x14ac:dyDescent="0.35">
      <c r="A198" s="16" t="s">
        <v>2630</v>
      </c>
      <c r="B198" s="16"/>
      <c r="C198" s="18"/>
    </row>
    <row r="199" spans="1:3" x14ac:dyDescent="0.35">
      <c r="A199" s="16" t="s">
        <v>2631</v>
      </c>
      <c r="B199" s="16"/>
      <c r="C199" s="18"/>
    </row>
    <row r="200" spans="1:3" x14ac:dyDescent="0.35">
      <c r="A200" s="16" t="s">
        <v>2632</v>
      </c>
      <c r="B200" s="16"/>
      <c r="C200" s="18"/>
    </row>
    <row r="201" spans="1:3" x14ac:dyDescent="0.35">
      <c r="A201" s="16" t="s">
        <v>2633</v>
      </c>
      <c r="B201" s="16"/>
      <c r="C201" s="18"/>
    </row>
    <row r="202" spans="1:3" x14ac:dyDescent="0.35">
      <c r="A202" s="16" t="s">
        <v>2634</v>
      </c>
      <c r="B202" s="16"/>
      <c r="C202" s="18"/>
    </row>
    <row r="203" spans="1:3" x14ac:dyDescent="0.35">
      <c r="A203" s="16" t="s">
        <v>2635</v>
      </c>
      <c r="B203" s="16"/>
      <c r="C203" s="18"/>
    </row>
    <row r="204" spans="1:3" x14ac:dyDescent="0.35">
      <c r="A204" s="16" t="s">
        <v>2636</v>
      </c>
      <c r="B204" s="16"/>
      <c r="C204" s="18"/>
    </row>
    <row r="205" spans="1:3" x14ac:dyDescent="0.35">
      <c r="A205" s="16" t="s">
        <v>2637</v>
      </c>
      <c r="B205" s="16"/>
      <c r="C205" s="18"/>
    </row>
    <row r="206" spans="1:3" x14ac:dyDescent="0.35">
      <c r="A206" s="16" t="s">
        <v>2638</v>
      </c>
      <c r="B206" s="16"/>
      <c r="C206" s="18"/>
    </row>
    <row r="207" spans="1:3" x14ac:dyDescent="0.35">
      <c r="A207" s="16" t="s">
        <v>2639</v>
      </c>
      <c r="B207" s="16"/>
      <c r="C207" s="18"/>
    </row>
    <row r="208" spans="1:3" x14ac:dyDescent="0.35">
      <c r="A208" s="16" t="s">
        <v>2640</v>
      </c>
      <c r="B208" s="16"/>
      <c r="C208" s="18"/>
    </row>
    <row r="209" spans="1:3" x14ac:dyDescent="0.35">
      <c r="A209" s="16" t="s">
        <v>2641</v>
      </c>
      <c r="B209" s="16"/>
      <c r="C209" s="18"/>
    </row>
    <row r="210" spans="1:3" x14ac:dyDescent="0.35">
      <c r="A210" s="16" t="s">
        <v>2642</v>
      </c>
      <c r="B210" s="16"/>
      <c r="C210" s="18"/>
    </row>
    <row r="211" spans="1:3" x14ac:dyDescent="0.35">
      <c r="A211" s="16" t="s">
        <v>2643</v>
      </c>
      <c r="B211" s="16"/>
      <c r="C211" s="18"/>
    </row>
    <row r="212" spans="1:3" x14ac:dyDescent="0.35">
      <c r="A212" s="16" t="s">
        <v>2644</v>
      </c>
      <c r="B212" s="16"/>
      <c r="C212" s="18"/>
    </row>
    <row r="213" spans="1:3" x14ac:dyDescent="0.35">
      <c r="A213" s="16" t="s">
        <v>2645</v>
      </c>
      <c r="B213" s="16"/>
      <c r="C213" s="18"/>
    </row>
    <row r="214" spans="1:3" x14ac:dyDescent="0.35">
      <c r="A214" s="16" t="s">
        <v>2646</v>
      </c>
      <c r="B214" s="16"/>
      <c r="C214" s="18"/>
    </row>
    <row r="215" spans="1:3" x14ac:dyDescent="0.35">
      <c r="A215" s="16" t="s">
        <v>2647</v>
      </c>
      <c r="B215" s="16"/>
      <c r="C215" s="18"/>
    </row>
    <row r="216" spans="1:3" x14ac:dyDescent="0.35">
      <c r="A216" s="16" t="s">
        <v>2648</v>
      </c>
      <c r="B216" s="16"/>
      <c r="C216" s="18"/>
    </row>
    <row r="217" spans="1:3" x14ac:dyDescent="0.35">
      <c r="A217" s="16" t="s">
        <v>2649</v>
      </c>
      <c r="B217" s="16"/>
      <c r="C217" s="18"/>
    </row>
    <row r="218" spans="1:3" x14ac:dyDescent="0.35">
      <c r="A218" s="16" t="s">
        <v>2650</v>
      </c>
      <c r="B218" s="16"/>
      <c r="C218" s="18"/>
    </row>
    <row r="219" spans="1:3" x14ac:dyDescent="0.35">
      <c r="A219" s="16" t="s">
        <v>2651</v>
      </c>
      <c r="B219" s="16"/>
      <c r="C219" s="18"/>
    </row>
    <row r="220" spans="1:3" x14ac:dyDescent="0.35">
      <c r="A220" s="16" t="s">
        <v>2652</v>
      </c>
      <c r="B220" s="16"/>
      <c r="C220" s="18"/>
    </row>
    <row r="221" spans="1:3" x14ac:dyDescent="0.35">
      <c r="A221" s="16" t="s">
        <v>2653</v>
      </c>
      <c r="B221" s="16"/>
      <c r="C221" s="18"/>
    </row>
    <row r="222" spans="1:3" x14ac:dyDescent="0.35">
      <c r="A222" s="16" t="s">
        <v>2654</v>
      </c>
      <c r="B222" s="16"/>
      <c r="C222" s="18"/>
    </row>
    <row r="223" spans="1:3" x14ac:dyDescent="0.35">
      <c r="A223" s="16" t="s">
        <v>2655</v>
      </c>
      <c r="B223" s="16"/>
      <c r="C223" s="18"/>
    </row>
    <row r="224" spans="1:3" x14ac:dyDescent="0.35">
      <c r="A224" s="16" t="s">
        <v>2656</v>
      </c>
      <c r="B224" s="16"/>
      <c r="C224" s="18"/>
    </row>
    <row r="225" spans="1:3" x14ac:dyDescent="0.35">
      <c r="A225" s="16" t="s">
        <v>2657</v>
      </c>
      <c r="B225" s="16"/>
      <c r="C225" s="18"/>
    </row>
    <row r="226" spans="1:3" x14ac:dyDescent="0.35">
      <c r="A226" s="16" t="s">
        <v>2658</v>
      </c>
      <c r="B226" s="16"/>
      <c r="C226" s="18"/>
    </row>
    <row r="227" spans="1:3" x14ac:dyDescent="0.35">
      <c r="A227" s="16" t="s">
        <v>2659</v>
      </c>
      <c r="B227" s="16"/>
      <c r="C227" s="18"/>
    </row>
    <row r="228" spans="1:3" x14ac:dyDescent="0.35">
      <c r="A228" s="16" t="s">
        <v>2660</v>
      </c>
      <c r="B228" s="16"/>
      <c r="C228" s="18"/>
    </row>
    <row r="229" spans="1:3" x14ac:dyDescent="0.35">
      <c r="A229" s="16" t="s">
        <v>2661</v>
      </c>
      <c r="B229" s="16"/>
      <c r="C229" s="18"/>
    </row>
    <row r="230" spans="1:3" x14ac:dyDescent="0.35">
      <c r="A230" s="16" t="s">
        <v>2662</v>
      </c>
      <c r="B230" s="16"/>
      <c r="C230" s="18"/>
    </row>
    <row r="231" spans="1:3" x14ac:dyDescent="0.35">
      <c r="A231" s="16" t="s">
        <v>2663</v>
      </c>
      <c r="B231" s="16"/>
      <c r="C231" s="18"/>
    </row>
    <row r="232" spans="1:3" x14ac:dyDescent="0.35">
      <c r="A232" s="16" t="s">
        <v>2664</v>
      </c>
      <c r="B232" s="16"/>
      <c r="C232" s="18"/>
    </row>
    <row r="233" spans="1:3" x14ac:dyDescent="0.35">
      <c r="A233" s="16" t="s">
        <v>2665</v>
      </c>
      <c r="B233" s="16"/>
      <c r="C233" s="18"/>
    </row>
    <row r="234" spans="1:3" x14ac:dyDescent="0.35">
      <c r="A234" s="16" t="s">
        <v>2666</v>
      </c>
      <c r="B234" s="16"/>
      <c r="C234" s="18"/>
    </row>
    <row r="235" spans="1:3" x14ac:dyDescent="0.35">
      <c r="A235" s="16" t="s">
        <v>2667</v>
      </c>
      <c r="B235" s="16"/>
      <c r="C235" s="18"/>
    </row>
    <row r="236" spans="1:3" x14ac:dyDescent="0.35">
      <c r="A236" s="16" t="s">
        <v>2668</v>
      </c>
      <c r="B236" s="16"/>
      <c r="C236" s="18"/>
    </row>
    <row r="237" spans="1:3" x14ac:dyDescent="0.35">
      <c r="A237" s="16" t="s">
        <v>2669</v>
      </c>
      <c r="B237" s="16"/>
      <c r="C237" s="18"/>
    </row>
    <row r="238" spans="1:3" x14ac:dyDescent="0.35">
      <c r="A238" s="16" t="s">
        <v>2670</v>
      </c>
      <c r="B238" s="16"/>
      <c r="C238" s="18"/>
    </row>
    <row r="239" spans="1:3" x14ac:dyDescent="0.35">
      <c r="A239" s="16" t="s">
        <v>2671</v>
      </c>
      <c r="B239" s="16"/>
      <c r="C239" s="18"/>
    </row>
    <row r="240" spans="1:3" x14ac:dyDescent="0.35">
      <c r="A240" s="16" t="s">
        <v>2672</v>
      </c>
      <c r="B240" s="16"/>
      <c r="C240" s="18"/>
    </row>
    <row r="241" spans="1:3" x14ac:dyDescent="0.35">
      <c r="A241" s="16" t="s">
        <v>2673</v>
      </c>
      <c r="B241" s="16"/>
      <c r="C241" s="18"/>
    </row>
    <row r="242" spans="1:3" x14ac:dyDescent="0.35">
      <c r="A242" s="16" t="s">
        <v>2674</v>
      </c>
      <c r="B242" s="16"/>
      <c r="C242" s="18"/>
    </row>
    <row r="243" spans="1:3" x14ac:dyDescent="0.35">
      <c r="A243" s="16" t="s">
        <v>2675</v>
      </c>
      <c r="B243" s="16"/>
      <c r="C243" s="18"/>
    </row>
    <row r="244" spans="1:3" x14ac:dyDescent="0.35">
      <c r="A244" s="16" t="s">
        <v>2676</v>
      </c>
      <c r="B244" s="16"/>
      <c r="C244" s="18"/>
    </row>
    <row r="245" spans="1:3" x14ac:dyDescent="0.35">
      <c r="A245" s="16" t="s">
        <v>2677</v>
      </c>
      <c r="B245" s="16"/>
      <c r="C245" s="18"/>
    </row>
    <row r="246" spans="1:3" x14ac:dyDescent="0.35">
      <c r="A246" s="16" t="s">
        <v>2678</v>
      </c>
      <c r="B246" s="16"/>
      <c r="C246" s="18"/>
    </row>
    <row r="247" spans="1:3" x14ac:dyDescent="0.35">
      <c r="A247" s="16" t="s">
        <v>2679</v>
      </c>
      <c r="B247" s="16"/>
      <c r="C247" s="18"/>
    </row>
    <row r="248" spans="1:3" x14ac:dyDescent="0.35">
      <c r="A248" s="16" t="s">
        <v>2680</v>
      </c>
      <c r="B248" s="16"/>
      <c r="C248" s="18"/>
    </row>
    <row r="249" spans="1:3" x14ac:dyDescent="0.35">
      <c r="A249" s="16" t="s">
        <v>2681</v>
      </c>
      <c r="B249" s="16"/>
      <c r="C249" s="18"/>
    </row>
    <row r="250" spans="1:3" x14ac:dyDescent="0.35">
      <c r="A250" s="16" t="s">
        <v>2682</v>
      </c>
      <c r="B250" s="16"/>
      <c r="C250" s="18"/>
    </row>
    <row r="251" spans="1:3" x14ac:dyDescent="0.35">
      <c r="A251" s="16" t="s">
        <v>2683</v>
      </c>
      <c r="B251" s="16"/>
      <c r="C251" s="18"/>
    </row>
    <row r="252" spans="1:3" x14ac:dyDescent="0.35">
      <c r="A252" s="16" t="s">
        <v>2684</v>
      </c>
      <c r="B252" s="16"/>
      <c r="C252" s="18"/>
    </row>
    <row r="253" spans="1:3" x14ac:dyDescent="0.35">
      <c r="A253" s="16" t="s">
        <v>2685</v>
      </c>
      <c r="B253" s="16"/>
      <c r="C253" s="18"/>
    </row>
    <row r="254" spans="1:3" x14ac:dyDescent="0.35">
      <c r="A254" s="16" t="s">
        <v>2686</v>
      </c>
      <c r="B254" s="16"/>
      <c r="C254" s="18"/>
    </row>
    <row r="255" spans="1:3" x14ac:dyDescent="0.35">
      <c r="A255" s="16" t="s">
        <v>2687</v>
      </c>
      <c r="B255" s="16"/>
      <c r="C255" s="18"/>
    </row>
    <row r="256" spans="1:3" x14ac:dyDescent="0.35">
      <c r="A256" s="16" t="s">
        <v>2688</v>
      </c>
      <c r="B256" s="16"/>
      <c r="C256" s="18"/>
    </row>
    <row r="257" spans="1:3" x14ac:dyDescent="0.35">
      <c r="A257" s="16" t="s">
        <v>2689</v>
      </c>
      <c r="B257" s="16"/>
      <c r="C257" s="18"/>
    </row>
    <row r="258" spans="1:3" x14ac:dyDescent="0.35">
      <c r="A258" s="16" t="s">
        <v>2690</v>
      </c>
      <c r="B258" s="16"/>
      <c r="C258" s="18"/>
    </row>
    <row r="259" spans="1:3" x14ac:dyDescent="0.35">
      <c r="A259" s="16" t="s">
        <v>2691</v>
      </c>
      <c r="B259" s="16"/>
      <c r="C259" s="18"/>
    </row>
    <row r="260" spans="1:3" x14ac:dyDescent="0.35">
      <c r="A260" s="16" t="s">
        <v>2692</v>
      </c>
      <c r="B260" s="16"/>
      <c r="C260" s="18"/>
    </row>
    <row r="261" spans="1:3" x14ac:dyDescent="0.35">
      <c r="A261" s="16" t="s">
        <v>2693</v>
      </c>
      <c r="B261" s="16"/>
      <c r="C261" s="18"/>
    </row>
    <row r="262" spans="1:3" x14ac:dyDescent="0.35">
      <c r="A262" s="16" t="s">
        <v>2694</v>
      </c>
      <c r="B262" s="16"/>
      <c r="C262" s="18"/>
    </row>
    <row r="263" spans="1:3" x14ac:dyDescent="0.35">
      <c r="A263" s="16" t="s">
        <v>2695</v>
      </c>
      <c r="B263" s="16"/>
      <c r="C263" s="18"/>
    </row>
    <row r="264" spans="1:3" x14ac:dyDescent="0.35">
      <c r="A264" s="16" t="s">
        <v>2696</v>
      </c>
      <c r="B264" s="16"/>
      <c r="C264" s="18"/>
    </row>
    <row r="265" spans="1:3" x14ac:dyDescent="0.35">
      <c r="A265" s="16" t="s">
        <v>2697</v>
      </c>
      <c r="B265" s="16"/>
      <c r="C265" s="18"/>
    </row>
    <row r="266" spans="1:3" x14ac:dyDescent="0.35">
      <c r="A266" s="16" t="s">
        <v>2698</v>
      </c>
      <c r="B266" s="16"/>
      <c r="C266" s="18"/>
    </row>
    <row r="267" spans="1:3" x14ac:dyDescent="0.35">
      <c r="A267" s="16" t="s">
        <v>2699</v>
      </c>
      <c r="B267" s="16"/>
      <c r="C267" s="18"/>
    </row>
    <row r="268" spans="1:3" x14ac:dyDescent="0.35">
      <c r="A268" s="16" t="s">
        <v>2700</v>
      </c>
      <c r="B268" s="16"/>
      <c r="C268" s="18"/>
    </row>
    <row r="269" spans="1:3" x14ac:dyDescent="0.35">
      <c r="A269" s="16" t="s">
        <v>2701</v>
      </c>
      <c r="B269" s="16"/>
      <c r="C269" s="18"/>
    </row>
    <row r="270" spans="1:3" x14ac:dyDescent="0.35">
      <c r="A270" s="16" t="s">
        <v>2702</v>
      </c>
      <c r="B270" s="16"/>
      <c r="C270" s="18"/>
    </row>
    <row r="271" spans="1:3" x14ac:dyDescent="0.35">
      <c r="A271" s="16" t="s">
        <v>2703</v>
      </c>
      <c r="B271" s="16"/>
      <c r="C271" s="18"/>
    </row>
    <row r="272" spans="1:3" x14ac:dyDescent="0.35">
      <c r="A272" s="16" t="s">
        <v>2704</v>
      </c>
      <c r="B272" s="16"/>
      <c r="C272" s="18"/>
    </row>
    <row r="273" spans="1:3" x14ac:dyDescent="0.35">
      <c r="A273" s="16" t="s">
        <v>2705</v>
      </c>
      <c r="B273" s="16"/>
      <c r="C273" s="18"/>
    </row>
    <row r="274" spans="1:3" x14ac:dyDescent="0.35">
      <c r="A274" s="16" t="s">
        <v>2706</v>
      </c>
      <c r="B274" s="16"/>
      <c r="C274" s="18"/>
    </row>
    <row r="275" spans="1:3" x14ac:dyDescent="0.35">
      <c r="A275" s="16" t="s">
        <v>2707</v>
      </c>
      <c r="B275" s="16"/>
      <c r="C275" s="18"/>
    </row>
    <row r="276" spans="1:3" x14ac:dyDescent="0.35">
      <c r="A276" s="16" t="s">
        <v>2708</v>
      </c>
      <c r="B276" s="16"/>
      <c r="C276" s="18"/>
    </row>
    <row r="277" spans="1:3" x14ac:dyDescent="0.35">
      <c r="A277" s="16" t="s">
        <v>2709</v>
      </c>
      <c r="B277" s="16"/>
      <c r="C277" s="18"/>
    </row>
    <row r="278" spans="1:3" x14ac:dyDescent="0.35">
      <c r="A278" s="16" t="s">
        <v>2710</v>
      </c>
      <c r="B278" s="16"/>
      <c r="C278" s="18"/>
    </row>
    <row r="279" spans="1:3" x14ac:dyDescent="0.35">
      <c r="A279" s="16" t="s">
        <v>2711</v>
      </c>
      <c r="B279" s="16"/>
      <c r="C279" s="18"/>
    </row>
    <row r="280" spans="1:3" x14ac:dyDescent="0.35">
      <c r="A280" s="16" t="s">
        <v>2712</v>
      </c>
      <c r="B280" s="16"/>
      <c r="C280" s="18"/>
    </row>
    <row r="281" spans="1:3" x14ac:dyDescent="0.35">
      <c r="A281" s="16" t="s">
        <v>2713</v>
      </c>
      <c r="B281" s="16"/>
      <c r="C281" s="18"/>
    </row>
    <row r="282" spans="1:3" x14ac:dyDescent="0.35">
      <c r="A282" s="16" t="s">
        <v>2714</v>
      </c>
      <c r="B282" s="16"/>
      <c r="C282" s="18"/>
    </row>
    <row r="283" spans="1:3" x14ac:dyDescent="0.35">
      <c r="A283" s="16" t="s">
        <v>2715</v>
      </c>
      <c r="B283" s="16"/>
      <c r="C283" s="18"/>
    </row>
    <row r="284" spans="1:3" x14ac:dyDescent="0.35">
      <c r="A284" s="16" t="s">
        <v>2716</v>
      </c>
      <c r="B284" s="16"/>
      <c r="C284" s="18"/>
    </row>
    <row r="285" spans="1:3" x14ac:dyDescent="0.35">
      <c r="A285" s="16" t="s">
        <v>2717</v>
      </c>
      <c r="B285" s="16"/>
      <c r="C285" s="18"/>
    </row>
    <row r="286" spans="1:3" x14ac:dyDescent="0.35">
      <c r="A286" s="16" t="s">
        <v>2718</v>
      </c>
      <c r="B286" s="16"/>
      <c r="C286" s="18"/>
    </row>
    <row r="287" spans="1:3" x14ac:dyDescent="0.35">
      <c r="A287" s="16" t="s">
        <v>2719</v>
      </c>
      <c r="B287" s="16"/>
      <c r="C287" s="18"/>
    </row>
    <row r="288" spans="1:3" x14ac:dyDescent="0.35">
      <c r="A288" s="16" t="s">
        <v>2720</v>
      </c>
      <c r="B288" s="16"/>
      <c r="C288" s="18"/>
    </row>
    <row r="289" spans="1:3" x14ac:dyDescent="0.35">
      <c r="A289" s="16" t="s">
        <v>2721</v>
      </c>
      <c r="B289" s="16"/>
      <c r="C289" s="18"/>
    </row>
    <row r="290" spans="1:3" x14ac:dyDescent="0.35">
      <c r="A290" s="16" t="s">
        <v>2722</v>
      </c>
      <c r="B290" s="16"/>
      <c r="C290" s="18"/>
    </row>
    <row r="291" spans="1:3" x14ac:dyDescent="0.35">
      <c r="A291" s="16" t="s">
        <v>2723</v>
      </c>
      <c r="B291" s="16"/>
      <c r="C291" s="18"/>
    </row>
    <row r="292" spans="1:3" x14ac:dyDescent="0.35">
      <c r="A292" s="16" t="s">
        <v>2724</v>
      </c>
      <c r="B292" s="16"/>
      <c r="C292" s="18"/>
    </row>
    <row r="293" spans="1:3" x14ac:dyDescent="0.35">
      <c r="A293" s="16" t="s">
        <v>2725</v>
      </c>
      <c r="B293" s="16"/>
      <c r="C293" s="18"/>
    </row>
    <row r="294" spans="1:3" x14ac:dyDescent="0.35">
      <c r="A294" s="16" t="s">
        <v>2726</v>
      </c>
      <c r="B294" s="16"/>
      <c r="C294" s="18"/>
    </row>
    <row r="295" spans="1:3" x14ac:dyDescent="0.35">
      <c r="A295" s="16" t="s">
        <v>2727</v>
      </c>
      <c r="B295" s="16"/>
      <c r="C295" s="18"/>
    </row>
    <row r="296" spans="1:3" x14ac:dyDescent="0.35">
      <c r="A296" s="16" t="s">
        <v>2728</v>
      </c>
      <c r="B296" s="16"/>
      <c r="C296" s="18"/>
    </row>
    <row r="297" spans="1:3" x14ac:dyDescent="0.35">
      <c r="A297" s="16" t="s">
        <v>2729</v>
      </c>
      <c r="B297" s="16"/>
      <c r="C297" s="18"/>
    </row>
    <row r="298" spans="1:3" x14ac:dyDescent="0.35">
      <c r="A298" s="16" t="s">
        <v>2730</v>
      </c>
      <c r="B298" s="16"/>
      <c r="C298" s="18"/>
    </row>
    <row r="299" spans="1:3" x14ac:dyDescent="0.35">
      <c r="A299" s="16" t="s">
        <v>2731</v>
      </c>
      <c r="B299" s="16"/>
      <c r="C299" s="18"/>
    </row>
    <row r="300" spans="1:3" x14ac:dyDescent="0.35">
      <c r="A300" s="16" t="s">
        <v>2732</v>
      </c>
      <c r="B300" s="16"/>
      <c r="C300" s="18"/>
    </row>
    <row r="301" spans="1:3" x14ac:dyDescent="0.35">
      <c r="A301" s="16" t="s">
        <v>2733</v>
      </c>
      <c r="B301" s="16"/>
      <c r="C301" s="18"/>
    </row>
    <row r="302" spans="1:3" x14ac:dyDescent="0.35">
      <c r="A302" s="16" t="s">
        <v>2734</v>
      </c>
      <c r="B302" s="16"/>
      <c r="C302" s="18"/>
    </row>
    <row r="303" spans="1:3" x14ac:dyDescent="0.35">
      <c r="A303" s="16" t="s">
        <v>2735</v>
      </c>
      <c r="B303" s="16"/>
      <c r="C303" s="18"/>
    </row>
    <row r="304" spans="1:3" x14ac:dyDescent="0.35">
      <c r="A304" s="16" t="s">
        <v>2736</v>
      </c>
      <c r="B304" s="16"/>
      <c r="C304" s="18"/>
    </row>
    <row r="305" spans="1:3" x14ac:dyDescent="0.35">
      <c r="A305" s="16" t="s">
        <v>2737</v>
      </c>
      <c r="B305" s="16"/>
      <c r="C305" s="18"/>
    </row>
    <row r="306" spans="1:3" x14ac:dyDescent="0.35">
      <c r="A306" s="16" t="s">
        <v>2738</v>
      </c>
      <c r="B306" s="16"/>
      <c r="C306" s="18"/>
    </row>
    <row r="307" spans="1:3" x14ac:dyDescent="0.35">
      <c r="A307" s="16" t="s">
        <v>2739</v>
      </c>
      <c r="B307" s="16"/>
      <c r="C307" s="18"/>
    </row>
    <row r="308" spans="1:3" x14ac:dyDescent="0.35">
      <c r="A308" s="16" t="s">
        <v>2740</v>
      </c>
      <c r="B308" s="16"/>
      <c r="C308" s="18"/>
    </row>
    <row r="309" spans="1:3" x14ac:dyDescent="0.35">
      <c r="A309" s="16" t="s">
        <v>2741</v>
      </c>
      <c r="B309" s="16"/>
      <c r="C309" s="18"/>
    </row>
    <row r="310" spans="1:3" x14ac:dyDescent="0.35">
      <c r="A310" s="16" t="s">
        <v>2742</v>
      </c>
      <c r="B310" s="16"/>
      <c r="C310" s="18"/>
    </row>
    <row r="311" spans="1:3" x14ac:dyDescent="0.35">
      <c r="A311" s="16" t="s">
        <v>2743</v>
      </c>
      <c r="B311" s="16"/>
      <c r="C311" s="18"/>
    </row>
    <row r="312" spans="1:3" x14ac:dyDescent="0.35">
      <c r="A312" s="16" t="s">
        <v>2744</v>
      </c>
      <c r="B312" s="16"/>
      <c r="C312" s="18"/>
    </row>
    <row r="313" spans="1:3" x14ac:dyDescent="0.35">
      <c r="A313" s="16" t="s">
        <v>2745</v>
      </c>
      <c r="B313" s="16"/>
      <c r="C313" s="18"/>
    </row>
    <row r="314" spans="1:3" x14ac:dyDescent="0.35">
      <c r="A314" s="16" t="s">
        <v>2746</v>
      </c>
      <c r="B314" s="16"/>
      <c r="C314" s="18"/>
    </row>
    <row r="315" spans="1:3" x14ac:dyDescent="0.35">
      <c r="A315" s="16" t="s">
        <v>2747</v>
      </c>
      <c r="B315" s="16"/>
      <c r="C315" s="18"/>
    </row>
    <row r="316" spans="1:3" x14ac:dyDescent="0.35">
      <c r="A316" s="16" t="s">
        <v>2748</v>
      </c>
      <c r="B316" s="16"/>
      <c r="C316" s="18"/>
    </row>
    <row r="317" spans="1:3" x14ac:dyDescent="0.35">
      <c r="A317" s="16" t="s">
        <v>2749</v>
      </c>
      <c r="B317" s="16"/>
      <c r="C317" s="18"/>
    </row>
    <row r="318" spans="1:3" x14ac:dyDescent="0.35">
      <c r="A318" s="16" t="s">
        <v>2750</v>
      </c>
      <c r="B318" s="16"/>
      <c r="C318" s="18"/>
    </row>
    <row r="319" spans="1:3" x14ac:dyDescent="0.35">
      <c r="A319" s="16" t="s">
        <v>2751</v>
      </c>
      <c r="B319" s="16"/>
      <c r="C319" s="18"/>
    </row>
    <row r="320" spans="1:3" x14ac:dyDescent="0.35">
      <c r="A320" s="16" t="s">
        <v>2752</v>
      </c>
      <c r="B320" s="16"/>
      <c r="C320" s="18"/>
    </row>
    <row r="321" spans="1:3" x14ac:dyDescent="0.35">
      <c r="A321" s="16" t="s">
        <v>2753</v>
      </c>
      <c r="B321" s="16"/>
      <c r="C321" s="18"/>
    </row>
    <row r="322" spans="1:3" x14ac:dyDescent="0.35">
      <c r="A322" s="16" t="s">
        <v>2754</v>
      </c>
      <c r="B322" s="16"/>
      <c r="C322" s="18"/>
    </row>
    <row r="323" spans="1:3" x14ac:dyDescent="0.35">
      <c r="A323" s="16" t="s">
        <v>2755</v>
      </c>
      <c r="B323" s="16"/>
      <c r="C323" s="18"/>
    </row>
    <row r="324" spans="1:3" x14ac:dyDescent="0.35">
      <c r="A324" s="16" t="s">
        <v>2756</v>
      </c>
      <c r="B324" s="16"/>
      <c r="C324" s="18"/>
    </row>
    <row r="325" spans="1:3" x14ac:dyDescent="0.35">
      <c r="A325" s="16" t="s">
        <v>2757</v>
      </c>
      <c r="B325" s="16"/>
      <c r="C325" s="18"/>
    </row>
    <row r="326" spans="1:3" x14ac:dyDescent="0.35">
      <c r="A326" s="16" t="s">
        <v>2758</v>
      </c>
      <c r="B326" s="16"/>
      <c r="C326" s="18"/>
    </row>
    <row r="327" spans="1:3" x14ac:dyDescent="0.35">
      <c r="A327" s="16" t="s">
        <v>2759</v>
      </c>
      <c r="B327" s="16"/>
      <c r="C327" s="18"/>
    </row>
    <row r="328" spans="1:3" x14ac:dyDescent="0.35">
      <c r="A328" s="16" t="s">
        <v>2760</v>
      </c>
      <c r="B328" s="16"/>
      <c r="C328" s="18"/>
    </row>
    <row r="329" spans="1:3" x14ac:dyDescent="0.35">
      <c r="A329" s="16" t="s">
        <v>2761</v>
      </c>
      <c r="B329" s="16"/>
      <c r="C329" s="18"/>
    </row>
    <row r="330" spans="1:3" x14ac:dyDescent="0.35">
      <c r="A330" s="16" t="s">
        <v>2762</v>
      </c>
      <c r="B330" s="16"/>
      <c r="C330" s="18"/>
    </row>
    <row r="331" spans="1:3" x14ac:dyDescent="0.35">
      <c r="A331" s="16" t="s">
        <v>2763</v>
      </c>
      <c r="B331" s="16"/>
      <c r="C331" s="18"/>
    </row>
    <row r="332" spans="1:3" x14ac:dyDescent="0.35">
      <c r="A332" s="16" t="s">
        <v>2764</v>
      </c>
      <c r="B332" s="16"/>
      <c r="C332" s="18"/>
    </row>
    <row r="333" spans="1:3" x14ac:dyDescent="0.35">
      <c r="A333" s="16" t="s">
        <v>2765</v>
      </c>
      <c r="B333" s="16"/>
      <c r="C333" s="18"/>
    </row>
    <row r="334" spans="1:3" x14ac:dyDescent="0.35">
      <c r="A334" s="16" t="s">
        <v>2766</v>
      </c>
      <c r="B334" s="16"/>
      <c r="C334" s="18"/>
    </row>
    <row r="335" spans="1:3" x14ac:dyDescent="0.35">
      <c r="A335" s="16" t="s">
        <v>2767</v>
      </c>
      <c r="B335" s="16"/>
      <c r="C335" s="18"/>
    </row>
    <row r="336" spans="1:3" x14ac:dyDescent="0.35">
      <c r="A336" s="16" t="s">
        <v>2768</v>
      </c>
      <c r="B336" s="16"/>
      <c r="C336" s="18"/>
    </row>
    <row r="337" spans="1:3" x14ac:dyDescent="0.35">
      <c r="A337" s="16" t="s">
        <v>2769</v>
      </c>
      <c r="B337" s="16"/>
      <c r="C337" s="18"/>
    </row>
    <row r="338" spans="1:3" x14ac:dyDescent="0.35">
      <c r="A338" s="16" t="s">
        <v>2770</v>
      </c>
      <c r="B338" s="16"/>
      <c r="C338" s="18"/>
    </row>
    <row r="339" spans="1:3" x14ac:dyDescent="0.35">
      <c r="A339" s="16" t="s">
        <v>2771</v>
      </c>
      <c r="B339" s="16"/>
      <c r="C339" s="18"/>
    </row>
    <row r="340" spans="1:3" x14ac:dyDescent="0.35">
      <c r="A340" s="16" t="s">
        <v>2772</v>
      </c>
      <c r="B340" s="16"/>
      <c r="C340" s="18"/>
    </row>
    <row r="341" spans="1:3" x14ac:dyDescent="0.35">
      <c r="A341" s="16" t="s">
        <v>2773</v>
      </c>
      <c r="B341" s="16"/>
      <c r="C341" s="18"/>
    </row>
    <row r="342" spans="1:3" x14ac:dyDescent="0.35">
      <c r="A342" s="16" t="s">
        <v>2774</v>
      </c>
      <c r="B342" s="16"/>
      <c r="C342" s="18"/>
    </row>
    <row r="343" spans="1:3" x14ac:dyDescent="0.35">
      <c r="A343" s="16" t="s">
        <v>2775</v>
      </c>
      <c r="B343" s="16"/>
      <c r="C343" s="18"/>
    </row>
    <row r="344" spans="1:3" x14ac:dyDescent="0.35">
      <c r="A344" s="16" t="s">
        <v>2776</v>
      </c>
      <c r="B344" s="16"/>
      <c r="C344" s="18"/>
    </row>
    <row r="345" spans="1:3" x14ac:dyDescent="0.35">
      <c r="A345" s="16" t="s">
        <v>2777</v>
      </c>
      <c r="B345" s="16"/>
      <c r="C345" s="18"/>
    </row>
    <row r="346" spans="1:3" x14ac:dyDescent="0.35">
      <c r="A346" s="16" t="s">
        <v>2778</v>
      </c>
      <c r="B346" s="16"/>
      <c r="C346" s="18"/>
    </row>
    <row r="347" spans="1:3" x14ac:dyDescent="0.35">
      <c r="A347" s="16" t="s">
        <v>2779</v>
      </c>
      <c r="B347" s="16"/>
      <c r="C347" s="18"/>
    </row>
    <row r="348" spans="1:3" x14ac:dyDescent="0.35">
      <c r="A348" s="16" t="s">
        <v>2780</v>
      </c>
      <c r="B348" s="16"/>
      <c r="C348" s="18"/>
    </row>
    <row r="349" spans="1:3" x14ac:dyDescent="0.35">
      <c r="A349" s="16" t="s">
        <v>2781</v>
      </c>
      <c r="B349" s="16"/>
      <c r="C349" s="18"/>
    </row>
    <row r="350" spans="1:3" x14ac:dyDescent="0.35">
      <c r="A350" s="16" t="s">
        <v>2782</v>
      </c>
      <c r="B350" s="16"/>
      <c r="C350" s="18"/>
    </row>
    <row r="351" spans="1:3" x14ac:dyDescent="0.35">
      <c r="A351" s="16" t="s">
        <v>2783</v>
      </c>
      <c r="B351" s="16"/>
      <c r="C351" s="18"/>
    </row>
    <row r="352" spans="1:3" x14ac:dyDescent="0.35">
      <c r="A352" s="16" t="s">
        <v>2784</v>
      </c>
      <c r="B352" s="16"/>
      <c r="C352" s="18"/>
    </row>
    <row r="353" spans="1:3" x14ac:dyDescent="0.35">
      <c r="A353" s="16" t="s">
        <v>2785</v>
      </c>
      <c r="B353" s="16"/>
      <c r="C353" s="18"/>
    </row>
    <row r="354" spans="1:3" x14ac:dyDescent="0.35">
      <c r="A354" s="16" t="s">
        <v>2786</v>
      </c>
      <c r="B354" s="16"/>
      <c r="C354" s="18"/>
    </row>
    <row r="355" spans="1:3" x14ac:dyDescent="0.35">
      <c r="A355" s="16" t="s">
        <v>2787</v>
      </c>
      <c r="B355" s="16"/>
      <c r="C355" s="18"/>
    </row>
    <row r="356" spans="1:3" x14ac:dyDescent="0.35">
      <c r="A356" s="16" t="s">
        <v>2788</v>
      </c>
      <c r="B356" s="16"/>
      <c r="C356" s="18"/>
    </row>
    <row r="357" spans="1:3" x14ac:dyDescent="0.35">
      <c r="A357" s="16" t="s">
        <v>2789</v>
      </c>
      <c r="B357" s="16"/>
      <c r="C357" s="18"/>
    </row>
    <row r="358" spans="1:3" x14ac:dyDescent="0.35">
      <c r="A358" s="16" t="s">
        <v>2790</v>
      </c>
      <c r="B358" s="16"/>
      <c r="C358" s="18"/>
    </row>
    <row r="359" spans="1:3" x14ac:dyDescent="0.35">
      <c r="A359" s="16" t="s">
        <v>2791</v>
      </c>
      <c r="B359" s="16"/>
      <c r="C359" s="18"/>
    </row>
    <row r="360" spans="1:3" x14ac:dyDescent="0.35">
      <c r="A360" s="16" t="s">
        <v>2792</v>
      </c>
      <c r="B360" s="16"/>
      <c r="C360" s="18"/>
    </row>
    <row r="361" spans="1:3" x14ac:dyDescent="0.35">
      <c r="A361" s="16" t="s">
        <v>2793</v>
      </c>
      <c r="B361" s="16"/>
      <c r="C361" s="18"/>
    </row>
    <row r="362" spans="1:3" x14ac:dyDescent="0.35">
      <c r="A362" s="16" t="s">
        <v>2794</v>
      </c>
      <c r="B362" s="16"/>
      <c r="C362" s="18"/>
    </row>
    <row r="363" spans="1:3" x14ac:dyDescent="0.35">
      <c r="A363" s="16" t="s">
        <v>2795</v>
      </c>
      <c r="B363" s="16"/>
      <c r="C363" s="18"/>
    </row>
    <row r="364" spans="1:3" x14ac:dyDescent="0.35">
      <c r="A364" s="16" t="s">
        <v>2796</v>
      </c>
      <c r="B364" s="16"/>
      <c r="C364" s="18"/>
    </row>
    <row r="365" spans="1:3" x14ac:dyDescent="0.35">
      <c r="A365" s="16" t="s">
        <v>2797</v>
      </c>
      <c r="B365" s="16"/>
      <c r="C365" s="18"/>
    </row>
    <row r="366" spans="1:3" x14ac:dyDescent="0.35">
      <c r="A366" s="16" t="s">
        <v>2798</v>
      </c>
      <c r="B366" s="16"/>
      <c r="C366" s="18"/>
    </row>
    <row r="367" spans="1:3" x14ac:dyDescent="0.35">
      <c r="A367" s="16" t="s">
        <v>2799</v>
      </c>
      <c r="B367" s="16"/>
      <c r="C367" s="18"/>
    </row>
    <row r="368" spans="1:3" x14ac:dyDescent="0.35">
      <c r="A368" s="16" t="s">
        <v>2800</v>
      </c>
      <c r="B368" s="16"/>
      <c r="C368" s="18"/>
    </row>
    <row r="369" spans="1:3" x14ac:dyDescent="0.35">
      <c r="A369" s="16" t="s">
        <v>2801</v>
      </c>
      <c r="B369" s="16"/>
      <c r="C369" s="18"/>
    </row>
    <row r="370" spans="1:3" x14ac:dyDescent="0.35">
      <c r="A370" s="16" t="s">
        <v>2802</v>
      </c>
      <c r="B370" s="16"/>
      <c r="C370" s="18"/>
    </row>
    <row r="371" spans="1:3" x14ac:dyDescent="0.35">
      <c r="A371" s="16" t="s">
        <v>2803</v>
      </c>
      <c r="B371" s="16"/>
      <c r="C371" s="18"/>
    </row>
    <row r="372" spans="1:3" x14ac:dyDescent="0.35">
      <c r="A372" s="16" t="s">
        <v>2804</v>
      </c>
      <c r="B372" s="16"/>
      <c r="C372" s="18"/>
    </row>
    <row r="373" spans="1:3" x14ac:dyDescent="0.35">
      <c r="A373" s="16" t="s">
        <v>2805</v>
      </c>
      <c r="B373" s="16"/>
      <c r="C373" s="18"/>
    </row>
    <row r="374" spans="1:3" x14ac:dyDescent="0.35">
      <c r="A374" s="16" t="s">
        <v>2806</v>
      </c>
      <c r="B374" s="16"/>
      <c r="C374" s="18"/>
    </row>
    <row r="375" spans="1:3" x14ac:dyDescent="0.35">
      <c r="A375" s="16" t="s">
        <v>2807</v>
      </c>
      <c r="B375" s="16"/>
      <c r="C375" s="18"/>
    </row>
    <row r="376" spans="1:3" x14ac:dyDescent="0.35">
      <c r="A376" s="16" t="s">
        <v>2808</v>
      </c>
      <c r="B376" s="16"/>
      <c r="C376" s="18"/>
    </row>
    <row r="377" spans="1:3" x14ac:dyDescent="0.35">
      <c r="A377" s="16" t="s">
        <v>2809</v>
      </c>
      <c r="B377" s="16"/>
      <c r="C377" s="18"/>
    </row>
    <row r="378" spans="1:3" x14ac:dyDescent="0.35">
      <c r="A378" s="16" t="s">
        <v>2810</v>
      </c>
      <c r="B378" s="16"/>
      <c r="C378" s="18"/>
    </row>
    <row r="379" spans="1:3" x14ac:dyDescent="0.35">
      <c r="A379" s="16" t="s">
        <v>2811</v>
      </c>
      <c r="B379" s="16"/>
      <c r="C379" s="18"/>
    </row>
    <row r="380" spans="1:3" x14ac:dyDescent="0.35">
      <c r="A380" s="16" t="s">
        <v>2812</v>
      </c>
      <c r="B380" s="16"/>
      <c r="C380" s="18"/>
    </row>
    <row r="381" spans="1:3" x14ac:dyDescent="0.35">
      <c r="A381" s="16" t="s">
        <v>2813</v>
      </c>
      <c r="B381" s="16"/>
      <c r="C381" s="18"/>
    </row>
    <row r="382" spans="1:3" x14ac:dyDescent="0.35">
      <c r="A382" s="16" t="s">
        <v>2814</v>
      </c>
      <c r="B382" s="16"/>
      <c r="C382" s="18"/>
    </row>
    <row r="383" spans="1:3" x14ac:dyDescent="0.35">
      <c r="A383" s="16" t="s">
        <v>2815</v>
      </c>
      <c r="B383" s="16"/>
      <c r="C383" s="18"/>
    </row>
    <row r="384" spans="1:3" x14ac:dyDescent="0.35">
      <c r="A384" s="16" t="s">
        <v>2816</v>
      </c>
      <c r="B384" s="16"/>
      <c r="C384" s="18"/>
    </row>
    <row r="385" spans="1:3" x14ac:dyDescent="0.35">
      <c r="A385" s="16" t="s">
        <v>2817</v>
      </c>
      <c r="B385" s="16"/>
      <c r="C385" s="18"/>
    </row>
    <row r="386" spans="1:3" x14ac:dyDescent="0.35">
      <c r="A386" s="16" t="s">
        <v>2818</v>
      </c>
      <c r="B386" s="16"/>
      <c r="C386" s="18"/>
    </row>
    <row r="387" spans="1:3" x14ac:dyDescent="0.35">
      <c r="A387" s="16" t="s">
        <v>2819</v>
      </c>
      <c r="B387" s="16"/>
      <c r="C387" s="18"/>
    </row>
    <row r="388" spans="1:3" x14ac:dyDescent="0.35">
      <c r="A388" s="16" t="s">
        <v>2820</v>
      </c>
      <c r="B388" s="16"/>
      <c r="C388" s="18"/>
    </row>
    <row r="389" spans="1:3" x14ac:dyDescent="0.35">
      <c r="A389" s="16" t="s">
        <v>2821</v>
      </c>
      <c r="B389" s="16"/>
      <c r="C389" s="18"/>
    </row>
    <row r="390" spans="1:3" x14ac:dyDescent="0.35">
      <c r="A390" s="16" t="s">
        <v>2822</v>
      </c>
      <c r="B390" s="16"/>
      <c r="C390" s="18"/>
    </row>
    <row r="391" spans="1:3" x14ac:dyDescent="0.35">
      <c r="A391" s="16" t="s">
        <v>2823</v>
      </c>
      <c r="B391" s="16"/>
      <c r="C391" s="18"/>
    </row>
    <row r="392" spans="1:3" x14ac:dyDescent="0.35">
      <c r="A392" s="16" t="s">
        <v>2824</v>
      </c>
      <c r="B392" s="16"/>
      <c r="C392" s="18"/>
    </row>
    <row r="393" spans="1:3" x14ac:dyDescent="0.35">
      <c r="A393" s="16" t="s">
        <v>2825</v>
      </c>
      <c r="B393" s="16"/>
      <c r="C393" s="18"/>
    </row>
    <row r="394" spans="1:3" x14ac:dyDescent="0.35">
      <c r="A394" s="16" t="s">
        <v>2826</v>
      </c>
      <c r="B394" s="16"/>
      <c r="C394" s="18"/>
    </row>
    <row r="395" spans="1:3" x14ac:dyDescent="0.35">
      <c r="A395" s="16" t="s">
        <v>2827</v>
      </c>
      <c r="B395" s="16"/>
      <c r="C395" s="18"/>
    </row>
    <row r="396" spans="1:3" x14ac:dyDescent="0.35">
      <c r="A396" s="16" t="s">
        <v>2828</v>
      </c>
      <c r="B396" s="16"/>
      <c r="C396" s="18"/>
    </row>
    <row r="397" spans="1:3" x14ac:dyDescent="0.35">
      <c r="A397" s="16" t="s">
        <v>2829</v>
      </c>
      <c r="B397" s="16"/>
      <c r="C397" s="18"/>
    </row>
    <row r="398" spans="1:3" x14ac:dyDescent="0.35">
      <c r="A398" s="16" t="s">
        <v>2830</v>
      </c>
      <c r="B398" s="16"/>
      <c r="C398" s="18"/>
    </row>
    <row r="399" spans="1:3" x14ac:dyDescent="0.35">
      <c r="A399" s="16" t="s">
        <v>2831</v>
      </c>
      <c r="B399" s="16"/>
      <c r="C399" s="18"/>
    </row>
    <row r="400" spans="1:3" x14ac:dyDescent="0.35">
      <c r="A400" s="16" t="s">
        <v>2832</v>
      </c>
      <c r="B400" s="16"/>
      <c r="C400" s="18"/>
    </row>
    <row r="401" spans="1:3" x14ac:dyDescent="0.35">
      <c r="A401" s="16" t="s">
        <v>2833</v>
      </c>
      <c r="B401" s="16"/>
      <c r="C401" s="18"/>
    </row>
    <row r="402" spans="1:3" x14ac:dyDescent="0.35">
      <c r="A402" s="16" t="s">
        <v>2834</v>
      </c>
      <c r="B402" s="16"/>
      <c r="C402" s="18"/>
    </row>
    <row r="403" spans="1:3" x14ac:dyDescent="0.35">
      <c r="A403" s="16" t="s">
        <v>2835</v>
      </c>
      <c r="B403" s="16"/>
      <c r="C403" s="18"/>
    </row>
    <row r="404" spans="1:3" x14ac:dyDescent="0.35">
      <c r="A404" s="16" t="s">
        <v>2836</v>
      </c>
      <c r="B404" s="16"/>
      <c r="C404" s="18"/>
    </row>
    <row r="405" spans="1:3" x14ac:dyDescent="0.35">
      <c r="A405" s="16" t="s">
        <v>2837</v>
      </c>
      <c r="B405" s="16"/>
      <c r="C405" s="18"/>
    </row>
    <row r="406" spans="1:3" x14ac:dyDescent="0.35">
      <c r="A406" s="16" t="s">
        <v>2838</v>
      </c>
      <c r="B406" s="16"/>
      <c r="C406" s="18"/>
    </row>
    <row r="407" spans="1:3" x14ac:dyDescent="0.35">
      <c r="A407" s="16" t="s">
        <v>2839</v>
      </c>
      <c r="B407" s="16"/>
      <c r="C407" s="18"/>
    </row>
    <row r="408" spans="1:3" x14ac:dyDescent="0.35">
      <c r="A408" s="16" t="s">
        <v>2840</v>
      </c>
      <c r="B408" s="16"/>
      <c r="C408" s="18"/>
    </row>
    <row r="409" spans="1:3" x14ac:dyDescent="0.35">
      <c r="A409" s="16" t="s">
        <v>2841</v>
      </c>
      <c r="B409" s="16"/>
      <c r="C409" s="18"/>
    </row>
    <row r="410" spans="1:3" x14ac:dyDescent="0.35">
      <c r="A410" s="16" t="s">
        <v>2842</v>
      </c>
      <c r="B410" s="16"/>
      <c r="C410" s="18"/>
    </row>
    <row r="411" spans="1:3" x14ac:dyDescent="0.35">
      <c r="A411" s="16" t="s">
        <v>2843</v>
      </c>
      <c r="B411" s="16"/>
      <c r="C411" s="18"/>
    </row>
    <row r="412" spans="1:3" x14ac:dyDescent="0.35">
      <c r="A412" s="16" t="s">
        <v>2844</v>
      </c>
      <c r="B412" s="16"/>
      <c r="C412" s="18"/>
    </row>
    <row r="413" spans="1:3" x14ac:dyDescent="0.35">
      <c r="A413" s="16" t="s">
        <v>2845</v>
      </c>
      <c r="B413" s="16"/>
      <c r="C413" s="18"/>
    </row>
    <row r="414" spans="1:3" x14ac:dyDescent="0.35">
      <c r="A414" s="16" t="s">
        <v>2846</v>
      </c>
      <c r="B414" s="16"/>
      <c r="C414" s="18"/>
    </row>
    <row r="415" spans="1:3" x14ac:dyDescent="0.35">
      <c r="A415" s="16" t="s">
        <v>2847</v>
      </c>
      <c r="B415" s="16"/>
      <c r="C415" s="18"/>
    </row>
    <row r="416" spans="1:3" x14ac:dyDescent="0.35">
      <c r="A416" s="16" t="s">
        <v>2848</v>
      </c>
      <c r="B416" s="16"/>
      <c r="C416" s="18"/>
    </row>
    <row r="417" spans="1:3" x14ac:dyDescent="0.35">
      <c r="A417" s="16" t="s">
        <v>2849</v>
      </c>
      <c r="B417" s="16"/>
      <c r="C417" s="18"/>
    </row>
    <row r="418" spans="1:3" x14ac:dyDescent="0.35">
      <c r="A418" s="16" t="s">
        <v>2850</v>
      </c>
      <c r="B418" s="16"/>
      <c r="C418" s="18"/>
    </row>
    <row r="419" spans="1:3" x14ac:dyDescent="0.35">
      <c r="A419" s="16" t="s">
        <v>2851</v>
      </c>
      <c r="B419" s="16"/>
      <c r="C419" s="18"/>
    </row>
    <row r="420" spans="1:3" x14ac:dyDescent="0.35">
      <c r="A420" s="16" t="s">
        <v>2852</v>
      </c>
      <c r="B420" s="16"/>
      <c r="C420" s="18"/>
    </row>
    <row r="421" spans="1:3" x14ac:dyDescent="0.35">
      <c r="A421" s="16" t="s">
        <v>2853</v>
      </c>
      <c r="B421" s="16"/>
      <c r="C421" s="18"/>
    </row>
    <row r="422" spans="1:3" x14ac:dyDescent="0.35">
      <c r="A422" s="16" t="s">
        <v>2854</v>
      </c>
      <c r="B422" s="16"/>
      <c r="C422" s="18"/>
    </row>
    <row r="423" spans="1:3" x14ac:dyDescent="0.35">
      <c r="A423" s="16" t="s">
        <v>2855</v>
      </c>
      <c r="B423" s="16"/>
      <c r="C423" s="18"/>
    </row>
    <row r="424" spans="1:3" x14ac:dyDescent="0.35">
      <c r="A424" s="16" t="s">
        <v>2856</v>
      </c>
      <c r="B424" s="16"/>
      <c r="C424" s="18"/>
    </row>
    <row r="425" spans="1:3" x14ac:dyDescent="0.35">
      <c r="A425" s="16" t="s">
        <v>2857</v>
      </c>
      <c r="B425" s="16"/>
      <c r="C425" s="18"/>
    </row>
    <row r="426" spans="1:3" x14ac:dyDescent="0.35">
      <c r="A426" s="16" t="s">
        <v>2858</v>
      </c>
      <c r="B426" s="16"/>
      <c r="C426" s="18"/>
    </row>
    <row r="427" spans="1:3" x14ac:dyDescent="0.35">
      <c r="A427" s="16" t="s">
        <v>2859</v>
      </c>
      <c r="B427" s="16"/>
      <c r="C427" s="18"/>
    </row>
    <row r="428" spans="1:3" x14ac:dyDescent="0.35">
      <c r="A428" s="16" t="s">
        <v>2860</v>
      </c>
      <c r="B428" s="16"/>
      <c r="C428" s="18"/>
    </row>
    <row r="429" spans="1:3" x14ac:dyDescent="0.35">
      <c r="A429" s="16" t="s">
        <v>2861</v>
      </c>
      <c r="B429" s="16"/>
      <c r="C429" s="18"/>
    </row>
    <row r="430" spans="1:3" x14ac:dyDescent="0.35">
      <c r="A430" s="16" t="s">
        <v>2862</v>
      </c>
      <c r="B430" s="16"/>
      <c r="C430" s="18"/>
    </row>
    <row r="431" spans="1:3" x14ac:dyDescent="0.35">
      <c r="A431" s="16" t="s">
        <v>2863</v>
      </c>
      <c r="B431" s="16"/>
      <c r="C431" s="18"/>
    </row>
    <row r="432" spans="1:3" x14ac:dyDescent="0.35">
      <c r="A432" s="16" t="s">
        <v>2864</v>
      </c>
      <c r="B432" s="16"/>
      <c r="C432" s="18"/>
    </row>
    <row r="433" spans="1:3" x14ac:dyDescent="0.35">
      <c r="A433" s="16" t="s">
        <v>2865</v>
      </c>
      <c r="B433" s="16"/>
      <c r="C433" s="18"/>
    </row>
    <row r="434" spans="1:3" x14ac:dyDescent="0.35">
      <c r="A434" s="16" t="s">
        <v>2866</v>
      </c>
      <c r="B434" s="16"/>
      <c r="C434" s="18"/>
    </row>
    <row r="435" spans="1:3" x14ac:dyDescent="0.35">
      <c r="A435" s="16" t="s">
        <v>2867</v>
      </c>
      <c r="B435" s="16"/>
      <c r="C435" s="18"/>
    </row>
    <row r="436" spans="1:3" x14ac:dyDescent="0.35">
      <c r="A436" s="16" t="s">
        <v>2868</v>
      </c>
      <c r="B436" s="16"/>
      <c r="C436" s="18"/>
    </row>
    <row r="437" spans="1:3" x14ac:dyDescent="0.35">
      <c r="A437" s="16" t="s">
        <v>2869</v>
      </c>
      <c r="B437" s="16"/>
      <c r="C437" s="18"/>
    </row>
    <row r="438" spans="1:3" x14ac:dyDescent="0.35">
      <c r="A438" s="16" t="s">
        <v>2870</v>
      </c>
      <c r="B438" s="16"/>
      <c r="C438" s="18"/>
    </row>
    <row r="439" spans="1:3" x14ac:dyDescent="0.35">
      <c r="A439" s="16" t="s">
        <v>2871</v>
      </c>
      <c r="B439" s="16"/>
      <c r="C439" s="18"/>
    </row>
    <row r="440" spans="1:3" x14ac:dyDescent="0.35">
      <c r="A440" s="16" t="s">
        <v>2872</v>
      </c>
      <c r="B440" s="16"/>
      <c r="C440" s="18"/>
    </row>
    <row r="441" spans="1:3" x14ac:dyDescent="0.35">
      <c r="A441" s="16" t="s">
        <v>2873</v>
      </c>
      <c r="B441" s="16"/>
      <c r="C441" s="18"/>
    </row>
    <row r="442" spans="1:3" x14ac:dyDescent="0.35">
      <c r="A442" s="16" t="s">
        <v>2874</v>
      </c>
      <c r="B442" s="16"/>
      <c r="C442" s="18"/>
    </row>
    <row r="443" spans="1:3" x14ac:dyDescent="0.35">
      <c r="A443" s="16" t="s">
        <v>2875</v>
      </c>
      <c r="B443" s="16"/>
      <c r="C443" s="18"/>
    </row>
    <row r="444" spans="1:3" x14ac:dyDescent="0.35">
      <c r="A444" s="16" t="s">
        <v>2876</v>
      </c>
      <c r="B444" s="16"/>
      <c r="C444" s="18"/>
    </row>
    <row r="445" spans="1:3" x14ac:dyDescent="0.35">
      <c r="A445" s="16" t="s">
        <v>2877</v>
      </c>
      <c r="B445" s="16"/>
      <c r="C445" s="18"/>
    </row>
    <row r="446" spans="1:3" x14ac:dyDescent="0.35">
      <c r="A446" s="16" t="s">
        <v>2878</v>
      </c>
      <c r="B446" s="16"/>
      <c r="C446" s="18"/>
    </row>
    <row r="447" spans="1:3" x14ac:dyDescent="0.35">
      <c r="A447" s="16" t="s">
        <v>2879</v>
      </c>
      <c r="B447" s="16"/>
      <c r="C447" s="18"/>
    </row>
    <row r="448" spans="1:3" x14ac:dyDescent="0.35">
      <c r="A448" s="16" t="s">
        <v>2880</v>
      </c>
      <c r="B448" s="16"/>
      <c r="C448" s="18"/>
    </row>
    <row r="449" spans="1:3" x14ac:dyDescent="0.35">
      <c r="A449" s="16" t="s">
        <v>2881</v>
      </c>
      <c r="B449" s="16"/>
      <c r="C449" s="18"/>
    </row>
    <row r="450" spans="1:3" x14ac:dyDescent="0.35">
      <c r="A450" s="16" t="s">
        <v>2882</v>
      </c>
      <c r="B450" s="16"/>
      <c r="C450" s="18"/>
    </row>
    <row r="451" spans="1:3" x14ac:dyDescent="0.35">
      <c r="A451" s="16" t="s">
        <v>2883</v>
      </c>
      <c r="B451" s="16"/>
      <c r="C451" s="18"/>
    </row>
    <row r="452" spans="1:3" x14ac:dyDescent="0.35">
      <c r="A452" s="16" t="s">
        <v>2884</v>
      </c>
      <c r="B452" s="16"/>
      <c r="C452" s="18"/>
    </row>
    <row r="453" spans="1:3" x14ac:dyDescent="0.35">
      <c r="A453" s="16" t="s">
        <v>2885</v>
      </c>
      <c r="B453" s="16"/>
      <c r="C453" s="18"/>
    </row>
    <row r="454" spans="1:3" x14ac:dyDescent="0.35">
      <c r="A454" s="16" t="s">
        <v>2886</v>
      </c>
      <c r="B454" s="16"/>
      <c r="C454" s="18"/>
    </row>
    <row r="455" spans="1:3" x14ac:dyDescent="0.35">
      <c r="A455" s="16" t="s">
        <v>2887</v>
      </c>
      <c r="B455" s="16"/>
      <c r="C455" s="18"/>
    </row>
    <row r="456" spans="1:3" x14ac:dyDescent="0.35">
      <c r="A456" s="16" t="s">
        <v>2888</v>
      </c>
      <c r="B456" s="16"/>
      <c r="C456" s="18"/>
    </row>
    <row r="457" spans="1:3" x14ac:dyDescent="0.35">
      <c r="A457" s="16" t="s">
        <v>2889</v>
      </c>
      <c r="B457" s="16"/>
      <c r="C457" s="18"/>
    </row>
    <row r="458" spans="1:3" x14ac:dyDescent="0.35">
      <c r="A458" s="16" t="s">
        <v>2890</v>
      </c>
      <c r="B458" s="16"/>
      <c r="C458" s="18"/>
    </row>
    <row r="459" spans="1:3" x14ac:dyDescent="0.35">
      <c r="A459" s="16" t="s">
        <v>2891</v>
      </c>
      <c r="B459" s="16"/>
      <c r="C459" s="18"/>
    </row>
    <row r="460" spans="1:3" x14ac:dyDescent="0.35">
      <c r="A460" s="16" t="s">
        <v>2892</v>
      </c>
      <c r="B460" s="16"/>
      <c r="C460" s="18"/>
    </row>
    <row r="461" spans="1:3" x14ac:dyDescent="0.35">
      <c r="A461" s="16" t="s">
        <v>2893</v>
      </c>
      <c r="B461" s="16"/>
      <c r="C461" s="18"/>
    </row>
    <row r="462" spans="1:3" x14ac:dyDescent="0.35">
      <c r="A462" s="16" t="s">
        <v>2894</v>
      </c>
      <c r="B462" s="16"/>
      <c r="C462" s="18"/>
    </row>
    <row r="463" spans="1:3" x14ac:dyDescent="0.35">
      <c r="A463" s="16" t="s">
        <v>2895</v>
      </c>
      <c r="B463" s="16"/>
      <c r="C463" s="18"/>
    </row>
    <row r="464" spans="1:3" x14ac:dyDescent="0.35">
      <c r="A464" s="16" t="s">
        <v>2896</v>
      </c>
      <c r="B464" s="16"/>
      <c r="C464" s="18"/>
    </row>
    <row r="465" spans="1:3" x14ac:dyDescent="0.35">
      <c r="A465" s="16" t="s">
        <v>2897</v>
      </c>
      <c r="B465" s="16"/>
      <c r="C465" s="18"/>
    </row>
    <row r="466" spans="1:3" x14ac:dyDescent="0.35">
      <c r="A466" s="16" t="s">
        <v>2898</v>
      </c>
      <c r="B466" s="16"/>
      <c r="C466" s="18"/>
    </row>
    <row r="467" spans="1:3" x14ac:dyDescent="0.35">
      <c r="A467" s="16" t="s">
        <v>2899</v>
      </c>
      <c r="B467" s="16"/>
      <c r="C467" s="18"/>
    </row>
    <row r="468" spans="1:3" x14ac:dyDescent="0.35">
      <c r="A468" s="16" t="s">
        <v>2900</v>
      </c>
      <c r="B468" s="16"/>
      <c r="C468" s="18"/>
    </row>
    <row r="469" spans="1:3" x14ac:dyDescent="0.35">
      <c r="A469" s="16" t="s">
        <v>2901</v>
      </c>
      <c r="B469" s="16"/>
      <c r="C469" s="18"/>
    </row>
    <row r="470" spans="1:3" x14ac:dyDescent="0.35">
      <c r="A470" s="16" t="s">
        <v>2902</v>
      </c>
      <c r="B470" s="16"/>
      <c r="C470" s="18"/>
    </row>
    <row r="471" spans="1:3" x14ac:dyDescent="0.35">
      <c r="A471" s="16" t="s">
        <v>2903</v>
      </c>
      <c r="B471" s="16"/>
      <c r="C471" s="18"/>
    </row>
    <row r="472" spans="1:3" x14ac:dyDescent="0.35">
      <c r="A472" s="16" t="s">
        <v>2904</v>
      </c>
      <c r="B472" s="16"/>
      <c r="C472" s="18"/>
    </row>
    <row r="473" spans="1:3" x14ac:dyDescent="0.35">
      <c r="A473" s="16" t="s">
        <v>2905</v>
      </c>
      <c r="B473" s="16"/>
      <c r="C473" s="18"/>
    </row>
    <row r="474" spans="1:3" x14ac:dyDescent="0.35">
      <c r="A474" s="16" t="s">
        <v>2906</v>
      </c>
      <c r="B474" s="16"/>
      <c r="C474" s="18"/>
    </row>
    <row r="475" spans="1:3" x14ac:dyDescent="0.35">
      <c r="A475" s="16" t="s">
        <v>2907</v>
      </c>
      <c r="B475" s="16"/>
      <c r="C475" s="18"/>
    </row>
    <row r="476" spans="1:3" x14ac:dyDescent="0.35">
      <c r="A476" s="16" t="s">
        <v>2908</v>
      </c>
      <c r="B476" s="16"/>
      <c r="C476" s="18"/>
    </row>
    <row r="477" spans="1:3" x14ac:dyDescent="0.35">
      <c r="A477" s="16" t="s">
        <v>2909</v>
      </c>
      <c r="B477" s="16"/>
      <c r="C477" s="18"/>
    </row>
    <row r="478" spans="1:3" x14ac:dyDescent="0.35">
      <c r="A478" s="16" t="s">
        <v>2910</v>
      </c>
      <c r="B478" s="16"/>
      <c r="C478" s="18"/>
    </row>
    <row r="479" spans="1:3" x14ac:dyDescent="0.35">
      <c r="A479" s="16" t="s">
        <v>2911</v>
      </c>
      <c r="B479" s="16"/>
      <c r="C479" s="18"/>
    </row>
    <row r="480" spans="1:3" x14ac:dyDescent="0.35">
      <c r="A480" s="16" t="s">
        <v>2912</v>
      </c>
      <c r="B480" s="16"/>
      <c r="C480" s="18"/>
    </row>
    <row r="481" spans="1:3" x14ac:dyDescent="0.35">
      <c r="A481" s="16" t="s">
        <v>2913</v>
      </c>
      <c r="B481" s="16"/>
      <c r="C481" s="18"/>
    </row>
    <row r="482" spans="1:3" x14ac:dyDescent="0.35">
      <c r="A482" s="16" t="s">
        <v>2914</v>
      </c>
      <c r="B482" s="16"/>
      <c r="C482" s="18"/>
    </row>
    <row r="483" spans="1:3" x14ac:dyDescent="0.35">
      <c r="A483" s="16" t="s">
        <v>2915</v>
      </c>
      <c r="B483" s="16"/>
      <c r="C483" s="18"/>
    </row>
    <row r="484" spans="1:3" x14ac:dyDescent="0.35">
      <c r="A484" s="16" t="s">
        <v>2916</v>
      </c>
      <c r="B484" s="16"/>
      <c r="C484" s="18"/>
    </row>
    <row r="485" spans="1:3" x14ac:dyDescent="0.35">
      <c r="A485" s="16" t="s">
        <v>2917</v>
      </c>
      <c r="B485" s="16"/>
      <c r="C485" s="18"/>
    </row>
    <row r="486" spans="1:3" x14ac:dyDescent="0.35">
      <c r="A486" s="16" t="s">
        <v>2918</v>
      </c>
      <c r="B486" s="16"/>
      <c r="C486" s="18"/>
    </row>
    <row r="487" spans="1:3" x14ac:dyDescent="0.35">
      <c r="A487" s="16" t="s">
        <v>2919</v>
      </c>
      <c r="B487" s="16"/>
      <c r="C487" s="18"/>
    </row>
    <row r="488" spans="1:3" x14ac:dyDescent="0.35">
      <c r="A488" s="16" t="s">
        <v>2920</v>
      </c>
      <c r="B488" s="16"/>
      <c r="C488" s="18"/>
    </row>
    <row r="489" spans="1:3" x14ac:dyDescent="0.35">
      <c r="A489" s="16" t="s">
        <v>2921</v>
      </c>
      <c r="B489" s="16"/>
      <c r="C489" s="18"/>
    </row>
    <row r="490" spans="1:3" x14ac:dyDescent="0.35">
      <c r="A490" s="16" t="s">
        <v>2922</v>
      </c>
      <c r="B490" s="16"/>
      <c r="C490" s="18"/>
    </row>
    <row r="491" spans="1:3" x14ac:dyDescent="0.35">
      <c r="A491" s="16" t="s">
        <v>2923</v>
      </c>
      <c r="B491" s="16"/>
      <c r="C491" s="18"/>
    </row>
    <row r="492" spans="1:3" x14ac:dyDescent="0.35">
      <c r="A492" s="16" t="s">
        <v>2924</v>
      </c>
      <c r="B492" s="16"/>
      <c r="C492" s="18"/>
    </row>
    <row r="493" spans="1:3" x14ac:dyDescent="0.35">
      <c r="A493" s="16" t="s">
        <v>2925</v>
      </c>
      <c r="B493" s="16"/>
      <c r="C493" s="18"/>
    </row>
    <row r="494" spans="1:3" x14ac:dyDescent="0.35">
      <c r="A494" s="16" t="s">
        <v>2926</v>
      </c>
      <c r="B494" s="16"/>
      <c r="C494" s="18"/>
    </row>
    <row r="495" spans="1:3" x14ac:dyDescent="0.35">
      <c r="A495" s="16" t="s">
        <v>2927</v>
      </c>
      <c r="B495" s="16"/>
      <c r="C495" s="18"/>
    </row>
    <row r="496" spans="1:3" x14ac:dyDescent="0.35">
      <c r="A496" s="16" t="s">
        <v>2928</v>
      </c>
      <c r="B496" s="16"/>
      <c r="C496" s="18"/>
    </row>
    <row r="497" spans="1:3" x14ac:dyDescent="0.35">
      <c r="A497" s="16" t="s">
        <v>2929</v>
      </c>
      <c r="B497" s="16"/>
      <c r="C497" s="18"/>
    </row>
    <row r="498" spans="1:3" x14ac:dyDescent="0.35">
      <c r="A498" s="16" t="s">
        <v>2930</v>
      </c>
      <c r="B498" s="16"/>
      <c r="C498" s="18"/>
    </row>
    <row r="499" spans="1:3" x14ac:dyDescent="0.35">
      <c r="A499" s="16" t="s">
        <v>2931</v>
      </c>
      <c r="B499" s="16"/>
      <c r="C499" s="18"/>
    </row>
    <row r="500" spans="1:3" x14ac:dyDescent="0.35">
      <c r="A500" s="16" t="s">
        <v>2932</v>
      </c>
      <c r="B500" s="16"/>
      <c r="C500" s="18"/>
    </row>
  </sheetData>
  <phoneticPr fontId="6" type="noConversion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1"/>
  <sheetViews>
    <sheetView showGridLines="0" workbookViewId="0">
      <pane ySplit="1" topLeftCell="A3" activePane="bottomLeft" state="frozen"/>
      <selection pane="bottomLeft" activeCell="F14" sqref="A13:F14"/>
    </sheetView>
  </sheetViews>
  <sheetFormatPr defaultRowHeight="14.5" x14ac:dyDescent="0.35"/>
  <cols>
    <col min="1" max="3" width="10" customWidth="1"/>
    <col min="4" max="4" width="16" customWidth="1"/>
    <col min="5" max="5" width="10" customWidth="1"/>
    <col min="6" max="6" width="14" customWidth="1"/>
  </cols>
  <sheetData>
    <row r="1" spans="1:6" ht="30" customHeight="1" x14ac:dyDescent="0.35">
      <c r="A1" s="1" t="s">
        <v>0</v>
      </c>
      <c r="B1" s="1" t="s">
        <v>255</v>
      </c>
      <c r="C1" s="1" t="s">
        <v>257</v>
      </c>
      <c r="D1" s="1" t="s">
        <v>2933</v>
      </c>
      <c r="E1" s="1" t="s">
        <v>2934</v>
      </c>
      <c r="F1" s="1" t="s">
        <v>2935</v>
      </c>
    </row>
    <row r="2" spans="1:6" x14ac:dyDescent="0.35">
      <c r="A2" s="2" t="s">
        <v>2936</v>
      </c>
      <c r="B2" s="2" t="s">
        <v>252</v>
      </c>
      <c r="C2" s="2" t="s">
        <v>78</v>
      </c>
      <c r="D2" s="3">
        <v>45600</v>
      </c>
      <c r="E2" s="8">
        <v>16</v>
      </c>
      <c r="F2" s="4">
        <v>65</v>
      </c>
    </row>
    <row r="3" spans="1:6" x14ac:dyDescent="0.35">
      <c r="A3" s="5" t="s">
        <v>2937</v>
      </c>
      <c r="B3" s="5" t="s">
        <v>252</v>
      </c>
      <c r="C3" s="5" t="s">
        <v>78</v>
      </c>
      <c r="D3" s="7">
        <v>45607</v>
      </c>
      <c r="E3" s="9">
        <v>20</v>
      </c>
      <c r="F3" s="6">
        <v>65</v>
      </c>
    </row>
    <row r="4" spans="1:6" x14ac:dyDescent="0.35">
      <c r="A4" s="2" t="s">
        <v>2938</v>
      </c>
      <c r="B4" s="2" t="s">
        <v>252</v>
      </c>
      <c r="C4" s="2" t="s">
        <v>78</v>
      </c>
      <c r="D4" s="3">
        <v>45614</v>
      </c>
      <c r="E4" s="8">
        <v>16</v>
      </c>
      <c r="F4" s="4">
        <v>65</v>
      </c>
    </row>
    <row r="5" spans="1:6" x14ac:dyDescent="0.35">
      <c r="A5" s="5" t="s">
        <v>2939</v>
      </c>
      <c r="B5" s="5" t="s">
        <v>252</v>
      </c>
      <c r="C5" s="5" t="s">
        <v>78</v>
      </c>
      <c r="D5" s="7">
        <v>45621</v>
      </c>
      <c r="E5" s="9">
        <v>16</v>
      </c>
      <c r="F5" s="6">
        <v>65</v>
      </c>
    </row>
    <row r="6" spans="1:6" x14ac:dyDescent="0.35">
      <c r="A6" s="2" t="s">
        <v>2940</v>
      </c>
      <c r="B6" s="2" t="s">
        <v>252</v>
      </c>
      <c r="C6" s="2" t="s">
        <v>78</v>
      </c>
      <c r="D6" s="3">
        <v>45628</v>
      </c>
      <c r="E6" s="8">
        <v>20</v>
      </c>
      <c r="F6" s="4">
        <v>65</v>
      </c>
    </row>
    <row r="7" spans="1:6" x14ac:dyDescent="0.35">
      <c r="A7" s="5" t="s">
        <v>2941</v>
      </c>
      <c r="B7" s="5" t="s">
        <v>252</v>
      </c>
      <c r="C7" s="5" t="s">
        <v>78</v>
      </c>
      <c r="D7" s="7">
        <v>45635</v>
      </c>
      <c r="E7" s="9">
        <v>16</v>
      </c>
      <c r="F7" s="6">
        <v>65</v>
      </c>
    </row>
    <row r="8" spans="1:6" x14ac:dyDescent="0.35">
      <c r="A8" s="2" t="s">
        <v>2942</v>
      </c>
      <c r="B8" s="2" t="s">
        <v>244</v>
      </c>
      <c r="C8" s="2" t="s">
        <v>78</v>
      </c>
      <c r="D8" s="3">
        <v>45600</v>
      </c>
      <c r="E8" s="8">
        <v>8</v>
      </c>
      <c r="F8" s="4">
        <v>95</v>
      </c>
    </row>
    <row r="9" spans="1:6" x14ac:dyDescent="0.35">
      <c r="A9" s="5" t="s">
        <v>2943</v>
      </c>
      <c r="B9" s="5" t="s">
        <v>244</v>
      </c>
      <c r="C9" s="5" t="s">
        <v>78</v>
      </c>
      <c r="D9" s="7">
        <v>45628</v>
      </c>
      <c r="E9" s="9">
        <v>8</v>
      </c>
      <c r="F9" s="6">
        <v>95</v>
      </c>
    </row>
    <row r="10" spans="1:6" x14ac:dyDescent="0.35">
      <c r="A10" s="2" t="s">
        <v>2944</v>
      </c>
      <c r="B10" s="2" t="s">
        <v>2376</v>
      </c>
      <c r="C10" s="2" t="s">
        <v>87</v>
      </c>
      <c r="D10" s="3">
        <v>45600</v>
      </c>
      <c r="E10" s="8">
        <v>20</v>
      </c>
      <c r="F10" s="4">
        <v>65</v>
      </c>
    </row>
    <row r="11" spans="1:6" x14ac:dyDescent="0.35">
      <c r="A11" s="5" t="s">
        <v>2945</v>
      </c>
      <c r="B11" s="5" t="s">
        <v>2376</v>
      </c>
      <c r="C11" s="5" t="s">
        <v>87</v>
      </c>
      <c r="D11" s="7">
        <v>45607</v>
      </c>
      <c r="E11" s="9">
        <v>20</v>
      </c>
      <c r="F11" s="6">
        <v>65</v>
      </c>
    </row>
    <row r="12" spans="1:6" x14ac:dyDescent="0.35">
      <c r="A12" s="2" t="s">
        <v>2946</v>
      </c>
      <c r="B12" s="2" t="s">
        <v>2376</v>
      </c>
      <c r="C12" s="2" t="s">
        <v>87</v>
      </c>
      <c r="D12" s="3">
        <v>45628</v>
      </c>
      <c r="E12" s="8">
        <v>20</v>
      </c>
      <c r="F12" s="4">
        <v>65</v>
      </c>
    </row>
    <row r="13" spans="1:6" x14ac:dyDescent="0.35">
      <c r="A13" s="5" t="s">
        <v>2947</v>
      </c>
      <c r="B13" s="5" t="s">
        <v>2376</v>
      </c>
      <c r="C13" s="5" t="s">
        <v>87</v>
      </c>
      <c r="D13" s="7">
        <v>45635</v>
      </c>
      <c r="E13" s="9">
        <v>16</v>
      </c>
      <c r="F13" s="6">
        <v>65</v>
      </c>
    </row>
    <row r="14" spans="1:6" x14ac:dyDescent="0.35">
      <c r="A14" s="2" t="s">
        <v>2948</v>
      </c>
      <c r="B14" s="2" t="s">
        <v>244</v>
      </c>
      <c r="C14" s="2" t="s">
        <v>87</v>
      </c>
      <c r="D14" s="3">
        <v>45607</v>
      </c>
      <c r="E14" s="8">
        <v>6</v>
      </c>
      <c r="F14" s="4">
        <v>95</v>
      </c>
    </row>
    <row r="15" spans="1:6" x14ac:dyDescent="0.35">
      <c r="A15" s="5" t="s">
        <v>2949</v>
      </c>
      <c r="B15" s="5" t="s">
        <v>2381</v>
      </c>
      <c r="C15" s="5" t="s">
        <v>118</v>
      </c>
      <c r="D15" s="7">
        <v>45677</v>
      </c>
      <c r="E15" s="9">
        <v>16</v>
      </c>
      <c r="F15" s="6">
        <v>70</v>
      </c>
    </row>
    <row r="16" spans="1:6" x14ac:dyDescent="0.35">
      <c r="A16" s="2" t="s">
        <v>2950</v>
      </c>
      <c r="B16" s="2" t="s">
        <v>2381</v>
      </c>
      <c r="C16" s="2" t="s">
        <v>118</v>
      </c>
      <c r="D16" s="3">
        <v>45684</v>
      </c>
      <c r="E16" s="8">
        <v>16</v>
      </c>
      <c r="F16" s="4">
        <v>70</v>
      </c>
    </row>
    <row r="17" spans="1:6" x14ac:dyDescent="0.35">
      <c r="A17" s="5" t="s">
        <v>2951</v>
      </c>
      <c r="B17" s="5" t="s">
        <v>2381</v>
      </c>
      <c r="C17" s="5" t="s">
        <v>118</v>
      </c>
      <c r="D17" s="7">
        <v>45691</v>
      </c>
      <c r="E17" s="9">
        <v>20</v>
      </c>
      <c r="F17" s="6">
        <v>70</v>
      </c>
    </row>
    <row r="18" spans="1:6" x14ac:dyDescent="0.35">
      <c r="A18" s="2" t="s">
        <v>2952</v>
      </c>
      <c r="B18" s="2" t="s">
        <v>2381</v>
      </c>
      <c r="C18" s="2" t="s">
        <v>118</v>
      </c>
      <c r="D18" s="3">
        <v>45698</v>
      </c>
      <c r="E18" s="8">
        <v>16</v>
      </c>
      <c r="F18" s="4">
        <v>70</v>
      </c>
    </row>
    <row r="19" spans="1:6" x14ac:dyDescent="0.35">
      <c r="A19" s="5" t="s">
        <v>2953</v>
      </c>
      <c r="B19" s="5" t="s">
        <v>2381</v>
      </c>
      <c r="C19" s="5" t="s">
        <v>118</v>
      </c>
      <c r="D19" s="7">
        <v>45705</v>
      </c>
      <c r="E19" s="9">
        <v>16</v>
      </c>
      <c r="F19" s="6">
        <v>70</v>
      </c>
    </row>
    <row r="20" spans="1:6" x14ac:dyDescent="0.35">
      <c r="A20" s="2" t="s">
        <v>2954</v>
      </c>
      <c r="B20" s="2" t="s">
        <v>2381</v>
      </c>
      <c r="C20" s="2" t="s">
        <v>118</v>
      </c>
      <c r="D20" s="3">
        <v>45719</v>
      </c>
      <c r="E20" s="8">
        <v>16</v>
      </c>
      <c r="F20" s="4">
        <v>70</v>
      </c>
    </row>
    <row r="21" spans="1:6" x14ac:dyDescent="0.35">
      <c r="A21" s="5" t="s">
        <v>2955</v>
      </c>
      <c r="B21" s="5" t="s">
        <v>244</v>
      </c>
      <c r="C21" s="5" t="s">
        <v>118</v>
      </c>
      <c r="D21" s="7">
        <v>45691</v>
      </c>
      <c r="E21" s="9">
        <v>6</v>
      </c>
      <c r="F21" s="6">
        <v>95</v>
      </c>
    </row>
    <row r="22" spans="1:6" x14ac:dyDescent="0.35">
      <c r="A22" s="2" t="s">
        <v>2956</v>
      </c>
      <c r="B22" s="2" t="s">
        <v>2379</v>
      </c>
      <c r="C22" s="2" t="s">
        <v>125</v>
      </c>
      <c r="D22" s="3">
        <v>45693</v>
      </c>
      <c r="E22" s="8">
        <v>24</v>
      </c>
      <c r="F22" s="4">
        <v>70</v>
      </c>
    </row>
    <row r="23" spans="1:6" x14ac:dyDescent="0.35">
      <c r="A23" s="5" t="s">
        <v>2957</v>
      </c>
      <c r="B23" s="5" t="s">
        <v>2379</v>
      </c>
      <c r="C23" s="5" t="s">
        <v>125</v>
      </c>
      <c r="D23" s="7">
        <v>45700</v>
      </c>
      <c r="E23" s="9">
        <v>24</v>
      </c>
      <c r="F23" s="6">
        <v>70</v>
      </c>
    </row>
    <row r="24" spans="1:6" x14ac:dyDescent="0.35">
      <c r="A24" s="2" t="s">
        <v>2958</v>
      </c>
      <c r="B24" s="2" t="s">
        <v>2379</v>
      </c>
      <c r="C24" s="2" t="s">
        <v>125</v>
      </c>
      <c r="D24" s="3">
        <v>45707</v>
      </c>
      <c r="E24" s="8">
        <v>20</v>
      </c>
      <c r="F24" s="4">
        <v>70</v>
      </c>
    </row>
    <row r="25" spans="1:6" x14ac:dyDescent="0.35">
      <c r="A25" s="5" t="s">
        <v>2959</v>
      </c>
      <c r="B25" s="5" t="s">
        <v>2379</v>
      </c>
      <c r="C25" s="5" t="s">
        <v>125</v>
      </c>
      <c r="D25" s="7">
        <v>45719</v>
      </c>
      <c r="E25" s="9">
        <v>24</v>
      </c>
      <c r="F25" s="6">
        <v>70</v>
      </c>
    </row>
    <row r="26" spans="1:6" x14ac:dyDescent="0.35">
      <c r="A26" s="2" t="s">
        <v>2960</v>
      </c>
      <c r="B26" s="2" t="s">
        <v>251</v>
      </c>
      <c r="C26" s="2" t="s">
        <v>125</v>
      </c>
      <c r="D26" s="3">
        <v>45693</v>
      </c>
      <c r="E26" s="8">
        <v>8</v>
      </c>
      <c r="F26" s="4">
        <v>75</v>
      </c>
    </row>
    <row r="27" spans="1:6" x14ac:dyDescent="0.35">
      <c r="A27" s="5" t="s">
        <v>2961</v>
      </c>
      <c r="B27" s="5" t="s">
        <v>251</v>
      </c>
      <c r="C27" s="5" t="s">
        <v>125</v>
      </c>
      <c r="D27" s="7">
        <v>45719</v>
      </c>
      <c r="E27" s="9">
        <v>8</v>
      </c>
      <c r="F27" s="6">
        <v>75</v>
      </c>
    </row>
    <row r="28" spans="1:6" x14ac:dyDescent="0.35">
      <c r="A28" s="2" t="s">
        <v>2962</v>
      </c>
      <c r="B28" s="2" t="s">
        <v>244</v>
      </c>
      <c r="C28" s="2" t="s">
        <v>129</v>
      </c>
      <c r="D28" s="3">
        <v>45663</v>
      </c>
      <c r="E28" s="8">
        <v>24</v>
      </c>
      <c r="F28" s="4">
        <v>95</v>
      </c>
    </row>
    <row r="29" spans="1:6" x14ac:dyDescent="0.35">
      <c r="A29" s="5" t="s">
        <v>2963</v>
      </c>
      <c r="B29" s="5" t="s">
        <v>244</v>
      </c>
      <c r="C29" s="5" t="s">
        <v>129</v>
      </c>
      <c r="D29" s="7">
        <v>45670</v>
      </c>
      <c r="E29" s="9">
        <v>24</v>
      </c>
      <c r="F29" s="6">
        <v>95</v>
      </c>
    </row>
    <row r="30" spans="1:6" x14ac:dyDescent="0.35">
      <c r="A30" s="2" t="s">
        <v>2964</v>
      </c>
      <c r="B30" s="2" t="s">
        <v>244</v>
      </c>
      <c r="C30" s="2" t="s">
        <v>129</v>
      </c>
      <c r="D30" s="3">
        <v>45677</v>
      </c>
      <c r="E30" s="8">
        <v>20</v>
      </c>
      <c r="F30" s="4">
        <v>95</v>
      </c>
    </row>
    <row r="31" spans="1:6" x14ac:dyDescent="0.35">
      <c r="A31" s="5" t="s">
        <v>2965</v>
      </c>
      <c r="B31" s="5" t="s">
        <v>244</v>
      </c>
      <c r="C31" s="5" t="s">
        <v>129</v>
      </c>
      <c r="D31" s="7">
        <v>45691</v>
      </c>
      <c r="E31" s="9">
        <v>24</v>
      </c>
      <c r="F31" s="6">
        <v>95</v>
      </c>
    </row>
    <row r="32" spans="1:6" x14ac:dyDescent="0.35">
      <c r="A32" s="2" t="s">
        <v>2966</v>
      </c>
      <c r="B32" s="2" t="s">
        <v>244</v>
      </c>
      <c r="C32" s="2" t="s">
        <v>129</v>
      </c>
      <c r="D32" s="3">
        <v>45698</v>
      </c>
      <c r="E32" s="8">
        <v>20</v>
      </c>
      <c r="F32" s="4">
        <v>95</v>
      </c>
    </row>
    <row r="33" spans="1:6" x14ac:dyDescent="0.35">
      <c r="A33" s="5" t="s">
        <v>2967</v>
      </c>
      <c r="B33" s="5" t="s">
        <v>244</v>
      </c>
      <c r="C33" s="5" t="s">
        <v>129</v>
      </c>
      <c r="D33" s="7">
        <v>45719</v>
      </c>
      <c r="E33" s="9">
        <v>24</v>
      </c>
      <c r="F33" s="6">
        <v>95</v>
      </c>
    </row>
    <row r="34" spans="1:6" x14ac:dyDescent="0.35">
      <c r="A34" s="2" t="s">
        <v>2968</v>
      </c>
      <c r="B34" s="2" t="s">
        <v>252</v>
      </c>
      <c r="C34" s="2" t="s">
        <v>129</v>
      </c>
      <c r="D34" s="3">
        <v>45691</v>
      </c>
      <c r="E34" s="8">
        <v>16</v>
      </c>
      <c r="F34" s="4">
        <v>65</v>
      </c>
    </row>
    <row r="35" spans="1:6" x14ac:dyDescent="0.35">
      <c r="A35" s="5" t="s">
        <v>2969</v>
      </c>
      <c r="B35" s="5" t="s">
        <v>252</v>
      </c>
      <c r="C35" s="5" t="s">
        <v>129</v>
      </c>
      <c r="D35" s="7">
        <v>45719</v>
      </c>
      <c r="E35" s="9">
        <v>16</v>
      </c>
      <c r="F35" s="6">
        <v>65</v>
      </c>
    </row>
    <row r="36" spans="1:6" x14ac:dyDescent="0.35">
      <c r="A36" s="2" t="s">
        <v>2970</v>
      </c>
      <c r="B36" s="2" t="s">
        <v>2377</v>
      </c>
      <c r="C36" s="2" t="s">
        <v>161</v>
      </c>
      <c r="D36" s="3">
        <v>45719</v>
      </c>
      <c r="E36" s="8">
        <v>24</v>
      </c>
      <c r="F36" s="4">
        <v>70</v>
      </c>
    </row>
    <row r="37" spans="1:6" x14ac:dyDescent="0.35">
      <c r="A37" s="5" t="s">
        <v>2971</v>
      </c>
      <c r="B37" s="5" t="s">
        <v>2377</v>
      </c>
      <c r="C37" s="5" t="s">
        <v>161</v>
      </c>
      <c r="D37" s="7">
        <v>45726</v>
      </c>
      <c r="E37" s="9">
        <v>24</v>
      </c>
      <c r="F37" s="6">
        <v>70</v>
      </c>
    </row>
    <row r="38" spans="1:6" x14ac:dyDescent="0.35">
      <c r="A38" s="2" t="s">
        <v>2972</v>
      </c>
      <c r="B38" s="2" t="s">
        <v>2377</v>
      </c>
      <c r="C38" s="2" t="s">
        <v>161</v>
      </c>
      <c r="D38" s="3">
        <v>45733</v>
      </c>
      <c r="E38" s="8">
        <v>20</v>
      </c>
      <c r="F38" s="4">
        <v>70</v>
      </c>
    </row>
    <row r="39" spans="1:6" x14ac:dyDescent="0.35">
      <c r="A39" s="5" t="s">
        <v>2973</v>
      </c>
      <c r="B39" s="5" t="s">
        <v>249</v>
      </c>
      <c r="C39" s="5" t="s">
        <v>161</v>
      </c>
      <c r="D39" s="7">
        <v>45719</v>
      </c>
      <c r="E39" s="9">
        <v>8</v>
      </c>
      <c r="F39" s="6">
        <v>75</v>
      </c>
    </row>
    <row r="40" spans="1:6" x14ac:dyDescent="0.35">
      <c r="A40" s="2" t="s">
        <v>2974</v>
      </c>
      <c r="B40" s="2" t="s">
        <v>247</v>
      </c>
      <c r="C40" s="2" t="s">
        <v>59</v>
      </c>
      <c r="D40" s="3">
        <v>45691</v>
      </c>
      <c r="E40" s="8">
        <v>8</v>
      </c>
      <c r="F40" s="4">
        <v>110</v>
      </c>
    </row>
    <row r="41" spans="1:6" x14ac:dyDescent="0.35">
      <c r="A41" s="5" t="s">
        <v>2975</v>
      </c>
      <c r="B41" s="5" t="s">
        <v>247</v>
      </c>
      <c r="C41" s="5" t="s">
        <v>59</v>
      </c>
      <c r="D41" s="7">
        <v>45719</v>
      </c>
      <c r="E41" s="9">
        <v>8</v>
      </c>
      <c r="F41" s="6">
        <v>110</v>
      </c>
    </row>
    <row r="42" spans="1:6" x14ac:dyDescent="0.35">
      <c r="A42" s="2" t="s">
        <v>2976</v>
      </c>
      <c r="B42" s="2" t="s">
        <v>2385</v>
      </c>
      <c r="C42" s="2" t="s">
        <v>166</v>
      </c>
      <c r="D42" s="3">
        <v>45698</v>
      </c>
      <c r="E42" s="8">
        <v>12</v>
      </c>
      <c r="F42" s="4">
        <v>65</v>
      </c>
    </row>
    <row r="43" spans="1:6" x14ac:dyDescent="0.35">
      <c r="A43" s="5" t="s">
        <v>2977</v>
      </c>
      <c r="B43" s="5" t="s">
        <v>2385</v>
      </c>
      <c r="C43" s="5" t="s">
        <v>166</v>
      </c>
      <c r="D43" s="7">
        <v>45726</v>
      </c>
      <c r="E43" s="9">
        <v>12</v>
      </c>
      <c r="F43" s="6">
        <v>65</v>
      </c>
    </row>
    <row r="44" spans="1:6" x14ac:dyDescent="0.35">
      <c r="A44" s="2" t="s">
        <v>2978</v>
      </c>
      <c r="B44" s="2" t="s">
        <v>2383</v>
      </c>
      <c r="C44" s="2" t="s">
        <v>138</v>
      </c>
      <c r="D44" s="3">
        <v>45719</v>
      </c>
      <c r="E44" s="8">
        <v>10</v>
      </c>
      <c r="F44" s="4">
        <v>85</v>
      </c>
    </row>
    <row r="45" spans="1:6" x14ac:dyDescent="0.35">
      <c r="A45" s="5" t="s">
        <v>2979</v>
      </c>
      <c r="B45" s="5" t="s">
        <v>2383</v>
      </c>
      <c r="C45" s="5" t="s">
        <v>185</v>
      </c>
      <c r="D45" s="7">
        <v>45726</v>
      </c>
      <c r="E45" s="9">
        <v>10</v>
      </c>
      <c r="F45" s="6">
        <v>85</v>
      </c>
    </row>
    <row r="46" spans="1:6" x14ac:dyDescent="0.35">
      <c r="A46" s="2" t="s">
        <v>2980</v>
      </c>
      <c r="B46" s="2" t="s">
        <v>2384</v>
      </c>
      <c r="C46" s="2" t="s">
        <v>105</v>
      </c>
      <c r="D46" s="3">
        <v>45719</v>
      </c>
      <c r="E46" s="8">
        <v>12</v>
      </c>
      <c r="F46" s="4">
        <v>70</v>
      </c>
    </row>
    <row r="47" spans="1:6" x14ac:dyDescent="0.35">
      <c r="A47" s="5" t="s">
        <v>2981</v>
      </c>
      <c r="B47" s="5" t="s">
        <v>2384</v>
      </c>
      <c r="C47" s="5" t="s">
        <v>105</v>
      </c>
      <c r="D47" s="7">
        <v>45726</v>
      </c>
      <c r="E47" s="9">
        <v>12</v>
      </c>
      <c r="F47" s="6">
        <v>70</v>
      </c>
    </row>
    <row r="48" spans="1:6" x14ac:dyDescent="0.35">
      <c r="A48" s="2" t="s">
        <v>2982</v>
      </c>
      <c r="B48" s="2" t="s">
        <v>2376</v>
      </c>
      <c r="C48" s="2" t="s">
        <v>78</v>
      </c>
      <c r="D48" s="3">
        <v>45642</v>
      </c>
      <c r="E48" s="8">
        <v>16</v>
      </c>
      <c r="F48" s="4">
        <v>65</v>
      </c>
    </row>
    <row r="49" spans="1:6" x14ac:dyDescent="0.35">
      <c r="A49" s="5" t="s">
        <v>2983</v>
      </c>
      <c r="B49" s="5" t="s">
        <v>2376</v>
      </c>
      <c r="C49" s="5" t="s">
        <v>87</v>
      </c>
      <c r="D49" s="7">
        <v>45663</v>
      </c>
      <c r="E49" s="9">
        <v>20</v>
      </c>
      <c r="F49" s="6">
        <v>65</v>
      </c>
    </row>
    <row r="50" spans="1:6" x14ac:dyDescent="0.35">
      <c r="A50" s="2" t="s">
        <v>2984</v>
      </c>
      <c r="B50" s="2" t="s">
        <v>2379</v>
      </c>
      <c r="C50" s="2" t="s">
        <v>125</v>
      </c>
      <c r="D50" s="3">
        <v>45726</v>
      </c>
      <c r="E50" s="8">
        <v>20</v>
      </c>
      <c r="F50" s="4">
        <v>70</v>
      </c>
    </row>
    <row r="51" spans="1:6" x14ac:dyDescent="0.35">
      <c r="A51" s="5" t="s">
        <v>2985</v>
      </c>
      <c r="B51" s="5" t="s">
        <v>2381</v>
      </c>
      <c r="C51" s="5" t="s">
        <v>118</v>
      </c>
      <c r="D51" s="7">
        <v>45726</v>
      </c>
      <c r="E51" s="9">
        <v>16</v>
      </c>
      <c r="F51" s="6">
        <v>70</v>
      </c>
    </row>
    <row r="52" spans="1:6" x14ac:dyDescent="0.35">
      <c r="A52" s="2" t="s">
        <v>2986</v>
      </c>
      <c r="B52" s="2" t="s">
        <v>2377</v>
      </c>
      <c r="C52" s="2" t="s">
        <v>161</v>
      </c>
      <c r="D52" s="3">
        <v>45740</v>
      </c>
      <c r="E52" s="8">
        <v>20</v>
      </c>
      <c r="F52" s="4">
        <v>70</v>
      </c>
    </row>
    <row r="53" spans="1:6" x14ac:dyDescent="0.35">
      <c r="A53" s="5" t="s">
        <v>2987</v>
      </c>
      <c r="B53" s="5" t="s">
        <v>252</v>
      </c>
      <c r="C53" s="5" t="s">
        <v>129</v>
      </c>
      <c r="D53" s="7">
        <v>45733</v>
      </c>
      <c r="E53" s="9">
        <v>16</v>
      </c>
      <c r="F53" s="6">
        <v>65</v>
      </c>
    </row>
    <row r="54" spans="1:6" x14ac:dyDescent="0.35">
      <c r="A54" s="2" t="s">
        <v>2988</v>
      </c>
      <c r="B54" s="2" t="s">
        <v>251</v>
      </c>
      <c r="C54" s="2" t="s">
        <v>125</v>
      </c>
      <c r="D54" s="3">
        <v>45726</v>
      </c>
      <c r="E54" s="8">
        <v>8</v>
      </c>
      <c r="F54" s="4">
        <v>75</v>
      </c>
    </row>
    <row r="55" spans="1:6" x14ac:dyDescent="0.35">
      <c r="A55" s="5" t="s">
        <v>2989</v>
      </c>
      <c r="B55" s="5" t="s">
        <v>249</v>
      </c>
      <c r="C55" s="5" t="s">
        <v>161</v>
      </c>
      <c r="D55" s="7">
        <v>45733</v>
      </c>
      <c r="E55" s="9">
        <v>6</v>
      </c>
      <c r="F55" s="6">
        <v>75</v>
      </c>
    </row>
    <row r="56" spans="1:6" x14ac:dyDescent="0.35">
      <c r="A56" s="2" t="s">
        <v>2990</v>
      </c>
      <c r="B56" s="2" t="s">
        <v>2385</v>
      </c>
      <c r="C56" s="2" t="s">
        <v>166</v>
      </c>
      <c r="D56" s="3">
        <v>45733</v>
      </c>
      <c r="E56" s="8">
        <v>12</v>
      </c>
      <c r="F56" s="4">
        <v>65</v>
      </c>
    </row>
    <row r="57" spans="1:6" x14ac:dyDescent="0.35">
      <c r="A57" s="5" t="s">
        <v>2991</v>
      </c>
      <c r="B57" s="5" t="s">
        <v>2384</v>
      </c>
      <c r="C57" s="5" t="s">
        <v>105</v>
      </c>
      <c r="D57" s="7">
        <v>45733</v>
      </c>
      <c r="E57" s="9">
        <v>12</v>
      </c>
      <c r="F57" s="6">
        <v>70</v>
      </c>
    </row>
    <row r="58" spans="1:6" x14ac:dyDescent="0.35">
      <c r="A58" s="2" t="s">
        <v>2992</v>
      </c>
      <c r="B58" s="2" t="s">
        <v>2383</v>
      </c>
      <c r="C58" s="2" t="s">
        <v>185</v>
      </c>
      <c r="D58" s="3">
        <v>45733</v>
      </c>
      <c r="E58" s="8">
        <v>10</v>
      </c>
      <c r="F58" s="4">
        <v>85</v>
      </c>
    </row>
    <row r="59" spans="1:6" x14ac:dyDescent="0.35">
      <c r="A59" s="5" t="s">
        <v>2993</v>
      </c>
      <c r="B59" s="5" t="s">
        <v>247</v>
      </c>
      <c r="C59" s="5" t="s">
        <v>59</v>
      </c>
      <c r="D59" s="7">
        <v>45733</v>
      </c>
      <c r="E59" s="9">
        <v>6</v>
      </c>
      <c r="F59" s="6">
        <v>110</v>
      </c>
    </row>
    <row r="60" spans="1:6" x14ac:dyDescent="0.35">
      <c r="A60" s="2" t="s">
        <v>2994</v>
      </c>
      <c r="B60" s="2" t="s">
        <v>244</v>
      </c>
      <c r="C60" s="2" t="s">
        <v>129</v>
      </c>
      <c r="D60" s="3">
        <v>45733</v>
      </c>
      <c r="E60" s="8">
        <v>20</v>
      </c>
      <c r="F60" s="4">
        <v>95</v>
      </c>
    </row>
    <row r="61" spans="1:6" x14ac:dyDescent="0.35">
      <c r="A61" s="5" t="s">
        <v>2995</v>
      </c>
      <c r="B61" s="5" t="s">
        <v>244</v>
      </c>
      <c r="C61" s="5" t="s">
        <v>118</v>
      </c>
      <c r="D61" s="7">
        <v>45726</v>
      </c>
      <c r="E61" s="9">
        <v>6</v>
      </c>
      <c r="F61" s="6">
        <v>95</v>
      </c>
    </row>
  </sheetData>
  <autoFilter ref="A1:F61" xr:uid="{00000000-0009-0000-0000-000002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2"/>
  <sheetViews>
    <sheetView showGridLines="0" workbookViewId="0">
      <selection sqref="A1:D1"/>
    </sheetView>
  </sheetViews>
  <sheetFormatPr defaultRowHeight="14.5" x14ac:dyDescent="0.35"/>
  <cols>
    <col min="1" max="1" width="20" customWidth="1"/>
    <col min="2" max="2" width="42" customWidth="1"/>
    <col min="3" max="3" width="18" customWidth="1"/>
    <col min="4" max="4" width="58" customWidth="1"/>
  </cols>
  <sheetData>
    <row r="1" spans="1:4" ht="35.15" customHeight="1" x14ac:dyDescent="0.35">
      <c r="A1" s="61" t="s">
        <v>2996</v>
      </c>
      <c r="B1" s="62"/>
      <c r="C1" s="62"/>
      <c r="D1" s="62"/>
    </row>
    <row r="3" spans="1:4" ht="24" customHeight="1" x14ac:dyDescent="0.35">
      <c r="A3" s="10" t="s">
        <v>2997</v>
      </c>
      <c r="B3" s="10" t="s">
        <v>2998</v>
      </c>
      <c r="C3" s="10" t="s">
        <v>2999</v>
      </c>
      <c r="D3" s="10" t="s">
        <v>3000</v>
      </c>
    </row>
    <row r="4" spans="1:4" x14ac:dyDescent="0.35">
      <c r="A4" s="11" t="s">
        <v>3001</v>
      </c>
      <c r="B4" s="12" t="s">
        <v>0</v>
      </c>
      <c r="C4" s="12" t="s">
        <v>3002</v>
      </c>
      <c r="D4" s="12" t="s">
        <v>3003</v>
      </c>
    </row>
    <row r="5" spans="1:4" x14ac:dyDescent="0.35">
      <c r="A5" s="13" t="s">
        <v>3001</v>
      </c>
      <c r="B5" s="14" t="s">
        <v>1</v>
      </c>
      <c r="C5" s="14" t="s">
        <v>3002</v>
      </c>
      <c r="D5" s="14" t="s">
        <v>3004</v>
      </c>
    </row>
    <row r="6" spans="1:4" x14ac:dyDescent="0.35">
      <c r="A6" s="11" t="s">
        <v>3001</v>
      </c>
      <c r="B6" s="12" t="s">
        <v>2372</v>
      </c>
      <c r="C6" s="12" t="s">
        <v>3002</v>
      </c>
      <c r="D6" s="12" t="s">
        <v>3005</v>
      </c>
    </row>
    <row r="7" spans="1:4" x14ac:dyDescent="0.35">
      <c r="A7" s="13" t="s">
        <v>3001</v>
      </c>
      <c r="B7" s="14" t="s">
        <v>3</v>
      </c>
      <c r="C7" s="14" t="s">
        <v>3002</v>
      </c>
      <c r="D7" s="14" t="s">
        <v>3006</v>
      </c>
    </row>
    <row r="8" spans="1:4" x14ac:dyDescent="0.35">
      <c r="A8" s="11" t="s">
        <v>3001</v>
      </c>
      <c r="B8" s="12" t="s">
        <v>6</v>
      </c>
      <c r="C8" s="12" t="s">
        <v>3007</v>
      </c>
      <c r="D8" s="12" t="s">
        <v>3008</v>
      </c>
    </row>
    <row r="9" spans="1:4" x14ac:dyDescent="0.35">
      <c r="A9" s="13" t="s">
        <v>3001</v>
      </c>
      <c r="B9" s="14" t="s">
        <v>3009</v>
      </c>
      <c r="C9" s="14" t="s">
        <v>3002</v>
      </c>
      <c r="D9" s="14" t="s">
        <v>3010</v>
      </c>
    </row>
    <row r="10" spans="1:4" x14ac:dyDescent="0.35">
      <c r="A10" s="11" t="s">
        <v>3001</v>
      </c>
      <c r="B10" s="12" t="s">
        <v>10</v>
      </c>
      <c r="C10" s="12" t="s">
        <v>3002</v>
      </c>
      <c r="D10" s="12" t="s">
        <v>3011</v>
      </c>
    </row>
    <row r="11" spans="1:4" x14ac:dyDescent="0.35">
      <c r="A11" s="13" t="s">
        <v>3001</v>
      </c>
      <c r="B11" s="14" t="s">
        <v>12</v>
      </c>
      <c r="C11" s="14" t="s">
        <v>3007</v>
      </c>
      <c r="D11" s="14" t="s">
        <v>3012</v>
      </c>
    </row>
    <row r="12" spans="1:4" x14ac:dyDescent="0.35">
      <c r="A12" s="11" t="s">
        <v>3001</v>
      </c>
      <c r="B12" s="12" t="s">
        <v>3013</v>
      </c>
      <c r="C12" s="12" t="s">
        <v>3014</v>
      </c>
      <c r="D12" s="12" t="s">
        <v>3015</v>
      </c>
    </row>
    <row r="13" spans="1:4" x14ac:dyDescent="0.35">
      <c r="A13" s="13" t="s">
        <v>3001</v>
      </c>
      <c r="B13" s="14" t="s">
        <v>3016</v>
      </c>
      <c r="C13" s="14" t="s">
        <v>3014</v>
      </c>
      <c r="D13" s="14" t="s">
        <v>3017</v>
      </c>
    </row>
    <row r="14" spans="1:4" x14ac:dyDescent="0.35">
      <c r="A14" s="11" t="s">
        <v>3001</v>
      </c>
      <c r="B14" s="12" t="s">
        <v>19</v>
      </c>
      <c r="C14" s="12" t="s">
        <v>3007</v>
      </c>
      <c r="D14" s="12" t="s">
        <v>3018</v>
      </c>
    </row>
    <row r="15" spans="1:4" x14ac:dyDescent="0.35">
      <c r="A15" s="13" t="s">
        <v>3001</v>
      </c>
      <c r="B15" s="14" t="s">
        <v>25</v>
      </c>
      <c r="C15" s="14" t="s">
        <v>3019</v>
      </c>
      <c r="D15" s="14" t="s">
        <v>3020</v>
      </c>
    </row>
    <row r="16" spans="1:4" x14ac:dyDescent="0.35">
      <c r="A16" s="11" t="s">
        <v>3001</v>
      </c>
      <c r="B16" s="12" t="s">
        <v>26</v>
      </c>
      <c r="C16" s="12" t="s">
        <v>3019</v>
      </c>
      <c r="D16" s="12" t="s">
        <v>3021</v>
      </c>
    </row>
    <row r="17" spans="1:4" x14ac:dyDescent="0.35">
      <c r="A17" s="13" t="s">
        <v>3001</v>
      </c>
      <c r="B17" s="14" t="s">
        <v>3022</v>
      </c>
      <c r="C17" s="14" t="s">
        <v>3019</v>
      </c>
      <c r="D17" s="14" t="s">
        <v>3023</v>
      </c>
    </row>
    <row r="18" spans="1:4" x14ac:dyDescent="0.35">
      <c r="A18" s="11" t="s">
        <v>3001</v>
      </c>
      <c r="B18" s="12" t="s">
        <v>3024</v>
      </c>
      <c r="C18" s="12" t="s">
        <v>3019</v>
      </c>
      <c r="D18" s="12" t="s">
        <v>3025</v>
      </c>
    </row>
    <row r="19" spans="1:4" x14ac:dyDescent="0.35">
      <c r="A19" s="13" t="s">
        <v>3001</v>
      </c>
      <c r="B19" s="14" t="s">
        <v>29</v>
      </c>
      <c r="C19" s="14" t="s">
        <v>3026</v>
      </c>
      <c r="D19" s="14" t="s">
        <v>3027</v>
      </c>
    </row>
    <row r="20" spans="1:4" x14ac:dyDescent="0.35">
      <c r="A20" s="11" t="s">
        <v>3001</v>
      </c>
      <c r="B20" s="12" t="s">
        <v>30</v>
      </c>
      <c r="C20" s="12" t="s">
        <v>3007</v>
      </c>
      <c r="D20" s="12" t="s">
        <v>3028</v>
      </c>
    </row>
    <row r="21" spans="1:4" x14ac:dyDescent="0.35">
      <c r="A21" s="13" t="s">
        <v>3001</v>
      </c>
      <c r="B21" s="14" t="s">
        <v>35</v>
      </c>
      <c r="C21" s="14" t="s">
        <v>3002</v>
      </c>
      <c r="D21" s="14" t="s">
        <v>3029</v>
      </c>
    </row>
    <row r="22" spans="1:4" x14ac:dyDescent="0.35">
      <c r="A22" s="12"/>
      <c r="B22" s="12"/>
      <c r="C22" s="12"/>
      <c r="D22" s="12"/>
    </row>
    <row r="23" spans="1:4" x14ac:dyDescent="0.35">
      <c r="A23" s="13" t="s">
        <v>3030</v>
      </c>
      <c r="B23" s="14" t="s">
        <v>0</v>
      </c>
      <c r="C23" s="14" t="s">
        <v>3002</v>
      </c>
      <c r="D23" s="14" t="s">
        <v>3031</v>
      </c>
    </row>
    <row r="24" spans="1:4" x14ac:dyDescent="0.35">
      <c r="A24" s="11" t="s">
        <v>3030</v>
      </c>
      <c r="B24" s="12" t="s">
        <v>240</v>
      </c>
      <c r="C24" s="12" t="s">
        <v>3007</v>
      </c>
      <c r="D24" s="12" t="s">
        <v>3032</v>
      </c>
    </row>
    <row r="25" spans="1:4" x14ac:dyDescent="0.35">
      <c r="A25" s="13" t="s">
        <v>3030</v>
      </c>
      <c r="B25" s="14" t="s">
        <v>241</v>
      </c>
      <c r="C25" s="14" t="s">
        <v>3007</v>
      </c>
      <c r="D25" s="14" t="s">
        <v>3033</v>
      </c>
    </row>
    <row r="26" spans="1:4" x14ac:dyDescent="0.35">
      <c r="A26" s="11" t="s">
        <v>3030</v>
      </c>
      <c r="B26" s="12" t="s">
        <v>242</v>
      </c>
      <c r="C26" s="12" t="s">
        <v>3019</v>
      </c>
      <c r="D26" s="12" t="s">
        <v>3034</v>
      </c>
    </row>
    <row r="27" spans="1:4" x14ac:dyDescent="0.35">
      <c r="A27" s="14"/>
      <c r="B27" s="14"/>
      <c r="C27" s="14"/>
      <c r="D27" s="14"/>
    </row>
    <row r="28" spans="1:4" x14ac:dyDescent="0.35">
      <c r="A28" s="11" t="s">
        <v>3035</v>
      </c>
      <c r="B28" s="12" t="s">
        <v>0</v>
      </c>
      <c r="C28" s="12" t="s">
        <v>3002</v>
      </c>
      <c r="D28" s="12" t="s">
        <v>3036</v>
      </c>
    </row>
    <row r="29" spans="1:4" x14ac:dyDescent="0.35">
      <c r="A29" s="13" t="s">
        <v>3035</v>
      </c>
      <c r="B29" s="14" t="s">
        <v>255</v>
      </c>
      <c r="C29" s="14" t="s">
        <v>3002</v>
      </c>
      <c r="D29" s="14" t="s">
        <v>3037</v>
      </c>
    </row>
    <row r="30" spans="1:4" x14ac:dyDescent="0.35">
      <c r="A30" s="11" t="s">
        <v>3035</v>
      </c>
      <c r="B30" s="12" t="s">
        <v>257</v>
      </c>
      <c r="C30" s="12" t="s">
        <v>3002</v>
      </c>
      <c r="D30" s="12" t="s">
        <v>3038</v>
      </c>
    </row>
    <row r="31" spans="1:4" x14ac:dyDescent="0.35">
      <c r="A31" s="13" t="s">
        <v>3035</v>
      </c>
      <c r="B31" s="14" t="s">
        <v>2933</v>
      </c>
      <c r="C31" s="14" t="s">
        <v>3014</v>
      </c>
      <c r="D31" s="14" t="s">
        <v>3039</v>
      </c>
    </row>
    <row r="32" spans="1:4" x14ac:dyDescent="0.35">
      <c r="A32" s="11" t="s">
        <v>3035</v>
      </c>
      <c r="B32" s="12" t="s">
        <v>2934</v>
      </c>
      <c r="C32" s="12" t="s">
        <v>3026</v>
      </c>
      <c r="D32" s="12" t="s">
        <v>3040</v>
      </c>
    </row>
    <row r="33" spans="1:4" x14ac:dyDescent="0.35">
      <c r="A33" s="13" t="s">
        <v>3035</v>
      </c>
      <c r="B33" s="14" t="s">
        <v>2935</v>
      </c>
      <c r="C33" s="14" t="s">
        <v>3019</v>
      </c>
      <c r="D33" s="14" t="s">
        <v>3041</v>
      </c>
    </row>
    <row r="34" spans="1:4" x14ac:dyDescent="0.35">
      <c r="A34" s="12"/>
      <c r="B34" s="12"/>
      <c r="C34" s="12"/>
      <c r="D34" s="12"/>
    </row>
    <row r="35" spans="1:4" x14ac:dyDescent="0.35">
      <c r="A35" s="13" t="s">
        <v>3042</v>
      </c>
      <c r="B35" s="14" t="s">
        <v>0</v>
      </c>
      <c r="C35" s="14" t="s">
        <v>3002</v>
      </c>
      <c r="D35" s="14" t="s">
        <v>3043</v>
      </c>
    </row>
    <row r="36" spans="1:4" x14ac:dyDescent="0.35">
      <c r="A36" s="11" t="s">
        <v>3042</v>
      </c>
      <c r="B36" s="12" t="s">
        <v>255</v>
      </c>
      <c r="C36" s="12" t="s">
        <v>3002</v>
      </c>
      <c r="D36" s="12" t="s">
        <v>3037</v>
      </c>
    </row>
    <row r="37" spans="1:4" x14ac:dyDescent="0.35">
      <c r="A37" s="13" t="s">
        <v>3042</v>
      </c>
      <c r="B37" s="14" t="s">
        <v>257</v>
      </c>
      <c r="C37" s="14" t="s">
        <v>3002</v>
      </c>
      <c r="D37" s="14" t="s">
        <v>3038</v>
      </c>
    </row>
    <row r="38" spans="1:4" x14ac:dyDescent="0.35">
      <c r="A38" s="11" t="s">
        <v>3042</v>
      </c>
      <c r="B38" s="12" t="s">
        <v>259</v>
      </c>
      <c r="C38" s="12" t="s">
        <v>3026</v>
      </c>
      <c r="D38" s="12" t="s">
        <v>3044</v>
      </c>
    </row>
    <row r="39" spans="1:4" x14ac:dyDescent="0.35">
      <c r="A39" s="13" t="s">
        <v>3042</v>
      </c>
      <c r="B39" s="14" t="s">
        <v>3013</v>
      </c>
      <c r="C39" s="14" t="s">
        <v>3014</v>
      </c>
      <c r="D39" s="14" t="s">
        <v>3045</v>
      </c>
    </row>
    <row r="40" spans="1:4" x14ac:dyDescent="0.35">
      <c r="A40" s="11" t="s">
        <v>3042</v>
      </c>
      <c r="B40" s="12" t="s">
        <v>240</v>
      </c>
      <c r="C40" s="12" t="s">
        <v>3007</v>
      </c>
      <c r="D40" s="12" t="s">
        <v>3046</v>
      </c>
    </row>
    <row r="41" spans="1:4" x14ac:dyDescent="0.35">
      <c r="A41" s="14"/>
      <c r="B41" s="14"/>
      <c r="C41" s="14"/>
      <c r="D41" s="14"/>
    </row>
    <row r="42" spans="1:4" ht="22" customHeight="1" x14ac:dyDescent="0.35">
      <c r="A42" s="63" t="s">
        <v>3047</v>
      </c>
      <c r="B42" s="62"/>
      <c r="C42" s="62"/>
      <c r="D42" s="62"/>
    </row>
    <row r="43" spans="1:4" x14ac:dyDescent="0.35">
      <c r="A43" s="14"/>
      <c r="B43" s="14" t="s">
        <v>3048</v>
      </c>
      <c r="C43" s="14" t="s">
        <v>3049</v>
      </c>
      <c r="D43" s="14" t="s">
        <v>3050</v>
      </c>
    </row>
    <row r="44" spans="1:4" x14ac:dyDescent="0.35">
      <c r="A44" s="12"/>
      <c r="B44" s="12" t="s">
        <v>3051</v>
      </c>
      <c r="C44" s="12" t="s">
        <v>3049</v>
      </c>
      <c r="D44" s="12" t="s">
        <v>3050</v>
      </c>
    </row>
    <row r="45" spans="1:4" x14ac:dyDescent="0.35">
      <c r="A45" s="14"/>
      <c r="B45" s="14" t="s">
        <v>3052</v>
      </c>
      <c r="C45" s="14" t="s">
        <v>3049</v>
      </c>
      <c r="D45" s="14" t="s">
        <v>3050</v>
      </c>
    </row>
    <row r="46" spans="1:4" x14ac:dyDescent="0.35">
      <c r="A46" s="12"/>
      <c r="B46" s="12" t="s">
        <v>3053</v>
      </c>
      <c r="C46" s="12" t="s">
        <v>3049</v>
      </c>
      <c r="D46" s="12" t="s">
        <v>3050</v>
      </c>
    </row>
    <row r="47" spans="1:4" x14ac:dyDescent="0.35">
      <c r="A47" s="14"/>
      <c r="B47" s="14"/>
      <c r="C47" s="14"/>
      <c r="D47" s="14"/>
    </row>
    <row r="48" spans="1:4" ht="22" customHeight="1" x14ac:dyDescent="0.35">
      <c r="A48" s="63" t="s">
        <v>3054</v>
      </c>
      <c r="B48" s="62"/>
      <c r="C48" s="62"/>
      <c r="D48" s="62"/>
    </row>
    <row r="49" spans="1:4" x14ac:dyDescent="0.35">
      <c r="A49" s="14"/>
      <c r="B49" s="14" t="s">
        <v>3055</v>
      </c>
      <c r="C49" s="14" t="s">
        <v>3056</v>
      </c>
      <c r="D49" s="14" t="s">
        <v>3057</v>
      </c>
    </row>
    <row r="50" spans="1:4" x14ac:dyDescent="0.35">
      <c r="A50" s="12"/>
      <c r="B50" s="12" t="s">
        <v>3058</v>
      </c>
      <c r="C50" s="12" t="s">
        <v>3056</v>
      </c>
      <c r="D50" s="12" t="s">
        <v>3059</v>
      </c>
    </row>
    <row r="51" spans="1:4" x14ac:dyDescent="0.35">
      <c r="A51" s="14"/>
      <c r="B51" s="14" t="s">
        <v>3060</v>
      </c>
      <c r="C51" s="14" t="s">
        <v>3056</v>
      </c>
      <c r="D51" s="14" t="s">
        <v>3061</v>
      </c>
    </row>
    <row r="52" spans="1:4" x14ac:dyDescent="0.35">
      <c r="A52" s="12"/>
      <c r="B52" s="12" t="s">
        <v>3062</v>
      </c>
      <c r="C52" s="12" t="s">
        <v>3063</v>
      </c>
      <c r="D52" s="12" t="s">
        <v>3064</v>
      </c>
    </row>
  </sheetData>
  <mergeCells count="3">
    <mergeCell ref="A1:D1"/>
    <mergeCell ref="A42:D42"/>
    <mergeCell ref="A48:D48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SPONS_x00c1_VEL xmlns="3854c33a-f0a4-47d4-bbc5-73f643d45ef2">
      <UserInfo>
        <DisplayName/>
        <AccountId xsi:nil="true"/>
        <AccountType/>
      </UserInfo>
    </RESPONS_x00c1_VEL>
    <lcf76f155ced4ddcb4097134ff3c332f xmlns="3854c33a-f0a4-47d4-bbc5-73f643d45ef2">
      <Terms xmlns="http://schemas.microsoft.com/office/infopath/2007/PartnerControls"/>
    </lcf76f155ced4ddcb4097134ff3c332f>
    <SETOR xmlns="3854c33a-f0a4-47d4-bbc5-73f643d45ef2" xsi:nil="true"/>
    <TaxCatchAll xmlns="28e13acc-f6fb-40b5-8928-3a483d517e2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CE5197307A7144B417765FB410F6EB" ma:contentTypeVersion="13" ma:contentTypeDescription="Create a new document." ma:contentTypeScope="" ma:versionID="96260b4220e107378af2d4230425c937">
  <xsd:schema xmlns:xsd="http://www.w3.org/2001/XMLSchema" xmlns:xs="http://www.w3.org/2001/XMLSchema" xmlns:p="http://schemas.microsoft.com/office/2006/metadata/properties" xmlns:ns2="3854c33a-f0a4-47d4-bbc5-73f643d45ef2" xmlns:ns3="28e13acc-f6fb-40b5-8928-3a483d517e23" targetNamespace="http://schemas.microsoft.com/office/2006/metadata/properties" ma:root="true" ma:fieldsID="c905f6e4e35106c20b4f04743ed7dc83" ns2:_="" ns3:_="">
    <xsd:import namespace="3854c33a-f0a4-47d4-bbc5-73f643d45ef2"/>
    <xsd:import namespace="28e13acc-f6fb-40b5-8928-3a483d517e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RESPONS_x00c1_VEL" minOccurs="0"/>
                <xsd:element ref="ns2:SETO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54c33a-f0a4-47d4-bbc5-73f643d45e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76bac86-b17f-4473-8a56-a848d05f8e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RESPONS_x00c1_VEL" ma:index="18" nillable="true" ma:displayName="RESPONSÁVEL" ma:format="Dropdown" ma:list="UserInfo" ma:SharePointGroup="0" ma:internalName="RESPONS_x00c1_VEL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ETOR" ma:index="19" nillable="true" ma:displayName="SETOR" ma:format="Dropdown" ma:internalName="SETOR">
      <xsd:simpleType>
        <xsd:restriction base="dms:Text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e13acc-f6fb-40b5-8928-3a483d517e2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a93762a-4da6-4479-b6ef-819ac6431b6d}" ma:internalName="TaxCatchAll" ma:showField="CatchAllData" ma:web="28e13acc-f6fb-40b5-8928-3a483d517e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1B947F-9372-44B1-AEAE-F8E62162343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A30D6B3-65B7-49EB-B993-DA5305624692}">
  <ds:schemaRefs>
    <ds:schemaRef ds:uri="http://schemas.microsoft.com/office/2006/metadata/properties"/>
    <ds:schemaRef ds:uri="http://schemas.microsoft.com/office/infopath/2007/PartnerControls"/>
    <ds:schemaRef ds:uri="3854c33a-f0a4-47d4-bbc5-73f643d45ef2"/>
    <ds:schemaRef ds:uri="28e13acc-f6fb-40b5-8928-3a483d517e23"/>
  </ds:schemaRefs>
</ds:datastoreItem>
</file>

<file path=customXml/itemProps3.xml><?xml version="1.0" encoding="utf-8"?>
<ds:datastoreItem xmlns:ds="http://schemas.openxmlformats.org/officeDocument/2006/customXml" ds:itemID="{D9CBB55E-64E7-45D8-890C-6EDB24B9FB6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DA11BDD-3D63-4654-9335-6742D5E03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54c33a-f0a4-47d4-bbc5-73f643d45ef2"/>
    <ds:schemaRef ds:uri="28e13acc-f6fb-40b5-8928-3a483d517e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8c49db7-7b74-4929-bc34-93fbabec8866}" enabled="1" method="Standard" siteId="{087a74d8-5ae1-4e3d-ae04-f3857de214b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projetos</vt:lpstr>
      <vt:lpstr>membros_nucleo</vt:lpstr>
      <vt:lpstr>alocacoes</vt:lpstr>
      <vt:lpstr>dim_pessoas</vt:lpstr>
      <vt:lpstr>dim_custo_setor_horas</vt:lpstr>
      <vt:lpstr>validacao_lista</vt:lpstr>
      <vt:lpstr>timesheets</vt:lpstr>
      <vt:lpstr>_dicionario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Henrique Resende Emiliano</cp:lastModifiedBy>
  <cp:revision/>
  <dcterms:created xsi:type="dcterms:W3CDTF">2026-02-19T00:26:07Z</dcterms:created>
  <dcterms:modified xsi:type="dcterms:W3CDTF">2026-04-27T14:29:54Z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0x0101002ECE5197307A7144B417765FB410F6EB</vt:lpwstr>
  </property>
  <property fmtid="{D5CDD505-2E9C-101B-9397-08002B2CF9AE}" pid="3" name="MediaServiceImageTags">
    <vt:lpwstr/>
  </property>
</Properties>
</file>